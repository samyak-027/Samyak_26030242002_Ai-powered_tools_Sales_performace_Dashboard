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Tasks" state="visible" r:id="rId5"/>
    <sheet sheetId="3" name="Theme Summary" state="visible" r:id="rId6"/>
    <sheet sheetId="4" name="Rubric (30 marks)" state="visible" r:id="rId7"/>
    <sheet sheetId="5" name="Marks Sheet" state="visible" r:id="rId8"/>
  </sheets>
  <calcPr calcId="171027"/>
</workbook>
</file>

<file path=xl/sharedStrings.xml><?xml version="1.0" encoding="utf-8"?>
<sst xmlns="http://schemas.openxmlformats.org/spreadsheetml/2006/main" count="98" uniqueCount="93">
  <si>
    <t>Projects for MBA Students (30 marks each)</t>
  </si>
  <si>
    <t>Purpose</t>
  </si>
  <si>
    <t>Each task asks students to build a working tool, bot, app, automation or analysis using only free LLM tools, then verify it and turn the result into a business recommendation.</t>
  </si>
  <si>
    <t>Allocation</t>
  </si>
  <si>
    <t>One task per student (or pair, if allowed). Allot by roll number or lottery so no two students in a section share a task.</t>
  </si>
  <si>
    <t>Files</t>
  </si>
  <si>
    <t>Every task has its own Excel file in the 'Task Files' folder: Task Brief (with rubric), ready-to-use dataset sheet(s), Data Dictionary and an AI Use Log template.</t>
  </si>
  <si>
    <t>Data</t>
  </si>
  <si>
    <t>All datasets are synthetic, generated for teaching, and free of real personal data. Companies, people and prices are fictional. Some files contain a 'Gold Labels (evaluation)' sheet that students must not give to the AI - it is for measuring accuracy.</t>
  </si>
  <si>
    <t>Free tools</t>
  </si>
  <si>
    <t>ChatGPT, Gemini (incl. Canvas and Gems), Claude, Microsoft Copilot, NotebookLM, Google AI Studio, Google Colab, Google Sheets + Apps Script, Canva, and free tiers of Make / Zapier / n8n. Free-tier limits change; students should note the plan they used.</t>
  </si>
  <si>
    <t>Evaluation</t>
  </si>
  <si>
    <t>Use the 'Rubric (30 marks)' sheet. Check at least 3 entries in each AI Use Log, ask each student to demo the build live for 3-5 minutes, and spot-check 3 numbers or labels in their output.</t>
  </si>
  <si>
    <t>Penalties (suggested)</t>
  </si>
  <si>
    <t>No AI Use Log: total capped at 15. Build does not run and no recording: criterion 1 capped at 2. Gold labels given to the AI: criterion 2 = 0. Copied work: referral under academic integrity policy.</t>
  </si>
  <si>
    <t>Number</t>
  </si>
  <si>
    <t>Name</t>
  </si>
  <si>
    <t>Task ID</t>
  </si>
  <si>
    <t>Theme</t>
  </si>
  <si>
    <t>Task</t>
  </si>
  <si>
    <t>What students do</t>
  </si>
  <si>
    <t>Deliverables</t>
  </si>
  <si>
    <t>Datasets needed</t>
  </si>
  <si>
    <t>Excel file</t>
  </si>
  <si>
    <t>Suggested free tools</t>
  </si>
  <si>
    <t>GitHubLink</t>
  </si>
  <si>
    <t>Acharya Samyak Laxmikantbhai</t>
  </si>
  <si>
    <t>T01</t>
  </si>
  <si>
    <t>A. No-code apps &amp; dashboards</t>
  </si>
  <si>
    <t>Sales performance dashboard app</t>
  </si>
  <si>
    <t xml:space="preserve">1. Upload the sales file to an LLM and ask it to build an interactive web dashboard (filters for month, region, channel, category).
2. Show KPIs: revenue, units, average order value, gross margin %, top 10 products, month-on-month growth.
3. Iterate at least 5 times on the prompt to fix layout and logic errors.
4. Re-compute every KPI in an Excel pivot and reconcile differences with the dashboard.
5. Write 5 insights a regional sales head could act on.</t>
  </si>
  <si>
    <t>Working dashboard (link or HTML file); KPI reconciliation sheet; 1-page insight note; AI-use log</t>
  </si>
  <si>
    <t>Synthetic D2C sales transactions, FY2025-26 (2,000 orders) — sheets: Sales (2,000 rows)</t>
  </si>
  <si>
    <t>T01_Sales_performance_dashboard_app.xlsx</t>
  </si>
  <si>
    <t>Gemini Canvas, ChatGPT Canvas or Claude (free) to generate the app; Excel / Google Sheets to verify numbers</t>
  </si>
  <si>
    <t>Number of tasks</t>
  </si>
  <si>
    <t>B. Chatbots &amp; AI assistants</t>
  </si>
  <si>
    <t>C. AI text analytics</t>
  </si>
  <si>
    <t>D. Marketing &amp; content builds</t>
  </si>
  <si>
    <t>E. Finance &amp; operations automation</t>
  </si>
  <si>
    <t>F. Analytics tools built with AI-written code</t>
  </si>
  <si>
    <t>Total</t>
  </si>
  <si>
    <t>Criterion</t>
  </si>
  <si>
    <t>Marks</t>
  </si>
  <si>
    <t>What is assessed</t>
  </si>
  <si>
    <t>Excellent</t>
  </si>
  <si>
    <t>Good</t>
  </si>
  <si>
    <t>Fair</t>
  </si>
  <si>
    <t>Poor</t>
  </si>
  <si>
    <t>1. Working build</t>
  </si>
  <si>
    <t>Tool / bot / app / automation works end to end on the provided data; link, file or screen recording submitted</t>
  </si>
  <si>
    <t>Runs fully (7-8)</t>
  </si>
  <si>
    <t>Minor gaps (5-6)</t>
  </si>
  <si>
    <t>Partly working (3-4)</t>
  </si>
  <si>
    <t>Not working (0-2)</t>
  </si>
  <si>
    <t>2. Correctness and verification</t>
  </si>
  <si>
    <t>Outputs checked against the data or gold labels; accuracy measured; errors found and fixed</t>
  </si>
  <si>
    <t>Systematic checks with numbers (6-7)</t>
  </si>
  <si>
    <t>Some checks (4-5)</t>
  </si>
  <si>
    <t>Few checks (2-3)</t>
  </si>
  <si>
    <t>None (0-1)</t>
  </si>
  <si>
    <t>3. Prompting and iteration</t>
  </si>
  <si>
    <t>Clear, structured prompts; at least 3 documented improvement rounds with reasons</t>
  </si>
  <si>
    <t>Strong iteration (5)</t>
  </si>
  <si>
    <t>Some iteration (3-4)</t>
  </si>
  <si>
    <t>Mostly one-shot (2)</t>
  </si>
  <si>
    <t>No log (0-1)</t>
  </si>
  <si>
    <t>4. Business insight and recommendation</t>
  </si>
  <si>
    <t>Specific, data-backed recommendation for the stated manager or customer</t>
  </si>
  <si>
    <t>Actionable and quantified (6)</t>
  </si>
  <si>
    <t>Sound but generic (4-5)</t>
  </si>
  <si>
    <t>Descriptive only (2-3)</t>
  </si>
  <si>
    <t>Missing (0-1)</t>
  </si>
  <si>
    <t>5. Documentation and reflection</t>
  </si>
  <si>
    <t>Complete AI-use log, limitations, responsible-AI notes and personal reflection</t>
  </si>
  <si>
    <t>Complete and honest (4)</t>
  </si>
  <si>
    <t>Mostly complete (3)</t>
  </si>
  <si>
    <t>Thin (2)</t>
  </si>
  <si>
    <t>Marks entry - yellow cells are for the evaluator; total and grade calculate automatically.</t>
  </si>
  <si>
    <t>Roll no</t>
  </si>
  <si>
    <t>Student name</t>
  </si>
  <si>
    <t>1. Working build (8)</t>
  </si>
  <si>
    <t>2. Correctness (7)</t>
  </si>
  <si>
    <t>3. Prompting (5)</t>
  </si>
  <si>
    <t>4. Insight (6)</t>
  </si>
  <si>
    <t>5. Documentation (4)</t>
  </si>
  <si>
    <t>Penalty (enter as negative)</t>
  </si>
  <si>
    <t>Total (30)</t>
  </si>
  <si>
    <t>Grade</t>
  </si>
  <si>
    <t>Feedback</t>
  </si>
  <si>
    <t>MBA001</t>
  </si>
  <si>
    <t>Example Student</t>
  </si>
  <si>
    <t>T07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</si>
</sst>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F4E5A"/>
      <sz val="14"/>
      <name val="Arial"/>
    </font>
    <font>
      <b/>
      <sz val="10"/>
      <name val="Arial"/>
    </font>
    <font>
      <sz val="11"/>
      <name val="Calibri"/>
    </font>
    <font>
      <b/>
      <color rgb="FFFFFFFF"/>
      <sz val="10"/>
      <name val="Arial"/>
    </font>
    <font>
      <color rgb="FFFF0000"/>
      <sz val="11"/>
      <name val="Arial"/>
    </font>
    <font>
      <color rgb="FF222222"/>
      <sz val="11"/>
      <name val="Calibri"/>
    </font>
    <font>
      <sz val="11"/>
      <name val="Arial"/>
    </font>
    <font>
      <i/>
      <color rgb="FF666666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E8F1F2"/>
      </patternFill>
    </fill>
    <fill>
      <patternFill patternType="solid">
        <fgColor rgb="FF1F4E5A"/>
      </patternFill>
    </fill>
    <fill>
      <patternFill patternType="solid">
        <fgColor rgb="FF000000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bottom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center" wrapText="1"/>
    </xf>
    <xf numFmtId="0" fontId="5" fillId="4" borderId="0" xfId="0" applyFont="1" applyFill="1" applyAlignment="1">
      <alignment vertical="bottom"/>
    </xf>
    <xf numFmtId="0" fontId="3" fillId="0" borderId="2" xfId="0" applyFont="1" applyBorder="1" applyAlignment="1">
      <alignment horizontal="right" vertical="bottom" wrapText="1"/>
    </xf>
    <xf numFmtId="0" fontId="3" fillId="0" borderId="2" xfId="0" applyFont="1" applyBorder="1" applyAlignment="1">
      <alignment vertical="bottom"/>
    </xf>
    <xf numFmtId="0" fontId="3" fillId="0" borderId="2" xfId="0" applyFont="1" applyBorder="1" applyAlignment="1">
      <alignment vertical="bottom" wrapText="1"/>
    </xf>
    <xf numFmtId="0" fontId="6" fillId="0" borderId="2" xfId="0" applyFont="1" applyBorder="1" applyAlignment="1">
      <alignment vertical="bottom" wrapText="1"/>
    </xf>
    <xf numFmtId="0" fontId="7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8" fillId="5" borderId="1" xfId="0" applyFont="1" applyFill="1" applyBorder="1" applyAlignment="1">
      <alignment vertical="bottom"/>
    </xf>
    <xf numFmtId="0" fontId="3" fillId="0" borderId="1" xfId="0" applyFont="1" applyBorder="1" applyAlignment="1">
      <alignment vertical="bottom"/>
    </xf>
    <xf numFmtId="0" fontId="3" fillId="5" borderId="1" xfId="0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FormatPr defaultRowHeight="15" outlineLevelRow="0" outlineLevelCol="0" x14ac:dyDescent="55"/>
  <cols>
    <col min="1" max="2" width="42.142857142857146" customWidth="1"/>
    <col min="3" max="24" width="13.571428571428571" customWidth="1"/>
  </cols>
  <sheetData>
    <row r="1" ht="25.5" customHeight="1" spans="1:1" x14ac:dyDescent="0.25">
      <c r="A1" s="1" t="s">
        <v>0</v>
      </c>
    </row>
    <row r="2" ht="12" customHeight="1" x14ac:dyDescent="0.25"/>
    <row r="3" ht="27.75" customHeight="1" spans="1:2" x14ac:dyDescent="0.25">
      <c r="A3" s="2" t="s">
        <v>1</v>
      </c>
      <c r="B3" s="3" t="s">
        <v>2</v>
      </c>
    </row>
    <row r="4" ht="27.75" customHeight="1" spans="1:2" x14ac:dyDescent="0.25">
      <c r="A4" s="2" t="s">
        <v>3</v>
      </c>
      <c r="B4" s="3" t="s">
        <v>4</v>
      </c>
    </row>
    <row r="5" ht="27.75" customHeight="1" spans="1:2" x14ac:dyDescent="0.25">
      <c r="A5" s="2" t="s">
        <v>5</v>
      </c>
      <c r="B5" s="3" t="s">
        <v>6</v>
      </c>
    </row>
    <row r="6" ht="42" customHeight="1" spans="1:2" x14ac:dyDescent="0.25">
      <c r="A6" s="2" t="s">
        <v>7</v>
      </c>
      <c r="B6" s="3" t="s">
        <v>8</v>
      </c>
    </row>
    <row r="7" ht="42" customHeight="1" spans="1:2" x14ac:dyDescent="0.25">
      <c r="A7" s="2" t="s">
        <v>9</v>
      </c>
      <c r="B7" s="3" t="s">
        <v>10</v>
      </c>
    </row>
    <row r="8" ht="18" customHeight="1" spans="1:2" x14ac:dyDescent="0.25">
      <c r="A8" s="2"/>
      <c r="B8" s="3"/>
    </row>
    <row r="9" ht="27.75" customHeight="1" spans="1:2" x14ac:dyDescent="0.25">
      <c r="A9" s="2" t="s">
        <v>11</v>
      </c>
      <c r="B9" s="3" t="s">
        <v>12</v>
      </c>
    </row>
    <row r="10" ht="27.75" customHeight="1" spans="1:2" x14ac:dyDescent="0.25">
      <c r="A10" s="2" t="s">
        <v>13</v>
      </c>
      <c r="B10" s="3" t="s">
        <v>14</v>
      </c>
    </row>
    <row r="11" ht="12" customHeight="1" x14ac:dyDescent="0.25"/>
    <row r="12" ht="12" customHeight="1" x14ac:dyDescent="0.25"/>
    <row r="13" ht="12" customHeight="1" x14ac:dyDescent="0.25"/>
    <row r="14" ht="12" customHeight="1" x14ac:dyDescent="0.25"/>
    <row r="15" ht="12" customHeight="1" x14ac:dyDescent="0.25"/>
    <row r="16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FormatPr defaultRowHeight="15" outlineLevelRow="0" outlineLevelCol="0" x14ac:dyDescent="55"/>
  <cols>
    <col min="1" max="1" width="14.142857142857142" customWidth="1"/>
    <col min="2" max="2" width="25.714285714285715" customWidth="1"/>
    <col min="3" max="3" width="9.285714285714286" customWidth="1"/>
    <col min="4" max="4" width="22" customWidth="1"/>
    <col min="5" max="5" width="30" customWidth="1"/>
    <col min="6" max="6" width="42.142857142857146" customWidth="1"/>
    <col min="7" max="7" width="40" customWidth="1"/>
    <col min="8" max="8" width="42.142857142857146" customWidth="1"/>
    <col min="9" max="9" width="36" customWidth="1"/>
    <col min="10" max="10" width="40" customWidth="1"/>
    <col min="11" max="11" width="17.714285714285715" customWidth="1"/>
    <col min="12" max="24" width="13.571428571428571" customWidth="1"/>
  </cols>
  <sheetData>
    <row r="1" ht="12" customHeight="1" spans="1:11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5" t="s">
        <v>25</v>
      </c>
    </row>
    <row r="2" ht="177" customHeight="1" spans="1:10" x14ac:dyDescent="0.25">
      <c r="A2" s="6">
        <v>26030242002</v>
      </c>
      <c r="B2" s="7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</row>
    <row r="3" ht="120" customHeight="1" spans="1:10" x14ac:dyDescent="0.25">
      <c r="A3" s="6"/>
      <c r="B3" s="8"/>
      <c r="C3" s="3"/>
      <c r="D3" s="3"/>
      <c r="E3" s="3"/>
      <c r="F3" s="3"/>
      <c r="G3" s="3"/>
      <c r="H3" s="3"/>
      <c r="I3" s="3"/>
      <c r="J3" s="3"/>
    </row>
    <row r="4" ht="120" customHeight="1" spans="1:10" x14ac:dyDescent="0.25">
      <c r="A4" s="6"/>
      <c r="B4" s="8"/>
      <c r="C4" s="3"/>
      <c r="D4" s="3"/>
      <c r="E4" s="3"/>
      <c r="F4" s="3"/>
      <c r="G4" s="3"/>
      <c r="H4" s="3"/>
      <c r="I4" s="3"/>
      <c r="J4" s="3"/>
    </row>
    <row r="5" ht="120" customHeight="1" spans="1:10" x14ac:dyDescent="0.25">
      <c r="A5" s="6"/>
      <c r="B5" s="8"/>
      <c r="C5" s="3"/>
      <c r="D5" s="3"/>
      <c r="E5" s="3"/>
      <c r="F5" s="3"/>
      <c r="G5" s="3"/>
      <c r="H5" s="3"/>
      <c r="I5" s="3"/>
      <c r="J5" s="3"/>
    </row>
    <row r="6" ht="120" customHeight="1" spans="1:10" x14ac:dyDescent="0.25">
      <c r="A6" s="6"/>
      <c r="B6" s="8"/>
      <c r="C6" s="3"/>
      <c r="D6" s="3"/>
      <c r="E6" s="3"/>
      <c r="F6" s="3"/>
      <c r="G6" s="3"/>
      <c r="H6" s="3"/>
      <c r="I6" s="3"/>
      <c r="J6" s="3"/>
    </row>
    <row r="7" ht="120" customHeight="1" spans="1:10" x14ac:dyDescent="0.25">
      <c r="A7" s="6"/>
      <c r="B7" s="8"/>
      <c r="C7" s="3"/>
      <c r="D7" s="3"/>
      <c r="E7" s="3"/>
      <c r="F7" s="3"/>
      <c r="G7" s="3"/>
      <c r="H7" s="3"/>
      <c r="I7" s="3"/>
      <c r="J7" s="3"/>
    </row>
    <row r="8" ht="120" customHeight="1" spans="1:10" x14ac:dyDescent="0.25">
      <c r="A8" s="6"/>
      <c r="B8" s="8"/>
      <c r="C8" s="3"/>
      <c r="D8" s="3"/>
      <c r="E8" s="3"/>
      <c r="F8" s="3"/>
      <c r="G8" s="3"/>
      <c r="H8" s="3"/>
      <c r="I8" s="3"/>
      <c r="J8" s="3"/>
    </row>
    <row r="9" ht="120" customHeight="1" spans="1:10" x14ac:dyDescent="0.25">
      <c r="A9" s="6"/>
      <c r="B9" s="8"/>
      <c r="C9" s="3"/>
      <c r="D9" s="3"/>
      <c r="E9" s="3"/>
      <c r="F9" s="3"/>
      <c r="G9" s="3"/>
      <c r="H9" s="3"/>
      <c r="I9" s="3"/>
      <c r="J9" s="3"/>
    </row>
    <row r="10" ht="120" customHeight="1" spans="1:10" x14ac:dyDescent="0.25">
      <c r="A10" s="6"/>
      <c r="B10" s="8"/>
      <c r="C10" s="3"/>
      <c r="D10" s="3"/>
      <c r="E10" s="3"/>
      <c r="F10" s="3"/>
      <c r="G10" s="3"/>
      <c r="H10" s="3"/>
      <c r="I10" s="3"/>
      <c r="J10" s="3"/>
    </row>
    <row r="11" ht="120" customHeight="1" spans="1:10" x14ac:dyDescent="0.25">
      <c r="A11" s="6"/>
      <c r="B11" s="8"/>
      <c r="C11" s="3"/>
      <c r="D11" s="3"/>
      <c r="E11" s="3"/>
      <c r="F11" s="3"/>
      <c r="G11" s="3"/>
      <c r="H11" s="3"/>
      <c r="I11" s="3"/>
      <c r="J11" s="3"/>
    </row>
    <row r="12" ht="120" customHeight="1" spans="1:10" x14ac:dyDescent="0.25">
      <c r="A12" s="6"/>
      <c r="B12" s="8"/>
      <c r="C12" s="3"/>
      <c r="D12" s="3"/>
      <c r="E12" s="3"/>
      <c r="F12" s="3"/>
      <c r="G12" s="3"/>
      <c r="H12" s="3"/>
      <c r="I12" s="3"/>
      <c r="J12" s="3"/>
    </row>
    <row r="13" ht="120" customHeight="1" spans="1:10" x14ac:dyDescent="0.25">
      <c r="A13" s="6"/>
      <c r="B13" s="8"/>
      <c r="C13" s="3"/>
      <c r="D13" s="3"/>
      <c r="E13" s="3"/>
      <c r="F13" s="3"/>
      <c r="G13" s="3"/>
      <c r="H13" s="3"/>
      <c r="I13" s="3"/>
      <c r="J13" s="3"/>
    </row>
    <row r="14" ht="120" customHeight="1" spans="1:10" x14ac:dyDescent="0.25">
      <c r="A14" s="6"/>
      <c r="B14" s="8"/>
      <c r="C14" s="3"/>
      <c r="D14" s="3"/>
      <c r="E14" s="3"/>
      <c r="F14" s="3"/>
      <c r="G14" s="3"/>
      <c r="H14" s="3"/>
      <c r="I14" s="3"/>
      <c r="J14" s="3"/>
    </row>
    <row r="15" ht="120" customHeight="1" spans="1:10" x14ac:dyDescent="0.25">
      <c r="A15" s="6"/>
      <c r="B15" s="8"/>
      <c r="C15" s="3"/>
      <c r="D15" s="3"/>
      <c r="E15" s="3"/>
      <c r="F15" s="3"/>
      <c r="G15" s="3"/>
      <c r="H15" s="3"/>
      <c r="I15" s="3"/>
      <c r="J15" s="3"/>
    </row>
    <row r="16" ht="120" customHeight="1" spans="1:10" x14ac:dyDescent="0.25">
      <c r="A16" s="6"/>
      <c r="B16" s="8"/>
      <c r="C16" s="3"/>
      <c r="D16" s="3"/>
      <c r="E16" s="3"/>
      <c r="F16" s="3"/>
      <c r="G16" s="3"/>
      <c r="H16" s="3"/>
      <c r="I16" s="3"/>
      <c r="J16" s="3"/>
    </row>
    <row r="17" ht="120" customHeight="1" spans="1:10" x14ac:dyDescent="0.25">
      <c r="A17" s="6"/>
      <c r="B17" s="8"/>
      <c r="C17" s="3"/>
      <c r="D17" s="3"/>
      <c r="E17" s="3"/>
      <c r="F17" s="3"/>
      <c r="G17" s="3"/>
      <c r="H17" s="3"/>
      <c r="I17" s="3"/>
      <c r="J17" s="3"/>
    </row>
    <row r="18" ht="120" customHeight="1" spans="1:10" x14ac:dyDescent="0.25">
      <c r="A18" s="6"/>
      <c r="B18" s="8"/>
      <c r="C18" s="3"/>
      <c r="D18" s="3"/>
      <c r="E18" s="3"/>
      <c r="F18" s="3"/>
      <c r="G18" s="3"/>
      <c r="H18" s="3"/>
      <c r="I18" s="3"/>
      <c r="J18" s="3"/>
    </row>
    <row r="19" ht="120" customHeight="1" spans="1:10" x14ac:dyDescent="0.25">
      <c r="A19" s="6"/>
      <c r="B19" s="8"/>
      <c r="C19" s="3"/>
      <c r="D19" s="3"/>
      <c r="E19" s="3"/>
      <c r="F19" s="3"/>
      <c r="G19" s="3"/>
      <c r="H19" s="3"/>
      <c r="I19" s="3"/>
      <c r="J19" s="3"/>
    </row>
    <row r="20" ht="120" customHeight="1" spans="1:10" x14ac:dyDescent="0.25">
      <c r="A20" s="6"/>
      <c r="B20" s="8"/>
      <c r="C20" s="3"/>
      <c r="D20" s="3"/>
      <c r="E20" s="3"/>
      <c r="F20" s="3"/>
      <c r="G20" s="3"/>
      <c r="H20" s="3"/>
      <c r="I20" s="3"/>
      <c r="J20" s="3"/>
    </row>
    <row r="21" ht="120" customHeight="1" spans="1:10" x14ac:dyDescent="0.25">
      <c r="A21" s="6"/>
      <c r="B21" s="8"/>
      <c r="C21" s="3"/>
      <c r="D21" s="3"/>
      <c r="E21" s="3"/>
      <c r="F21" s="3"/>
      <c r="G21" s="3"/>
      <c r="H21" s="3"/>
      <c r="I21" s="3"/>
      <c r="J21" s="3"/>
    </row>
    <row r="22" ht="120" customHeight="1" spans="1:10" x14ac:dyDescent="0.25">
      <c r="A22" s="6"/>
      <c r="B22" s="8"/>
      <c r="C22" s="3"/>
      <c r="D22" s="3"/>
      <c r="E22" s="3"/>
      <c r="F22" s="3"/>
      <c r="G22" s="3"/>
      <c r="H22" s="3"/>
      <c r="I22" s="3"/>
      <c r="J22" s="3"/>
    </row>
    <row r="23" ht="120" customHeight="1" spans="1:10" x14ac:dyDescent="0.25">
      <c r="A23" s="6"/>
      <c r="B23" s="8"/>
      <c r="C23" s="3"/>
      <c r="D23" s="3"/>
      <c r="E23" s="3"/>
      <c r="F23" s="3"/>
      <c r="G23" s="3"/>
      <c r="H23" s="3"/>
      <c r="I23" s="3"/>
      <c r="J23" s="3"/>
    </row>
    <row r="24" ht="120" customHeight="1" spans="1:10" x14ac:dyDescent="0.25">
      <c r="A24" s="6"/>
      <c r="B24" s="8"/>
      <c r="C24" s="3"/>
      <c r="D24" s="3"/>
      <c r="E24" s="3"/>
      <c r="F24" s="3"/>
      <c r="G24" s="3"/>
      <c r="H24" s="3"/>
      <c r="I24" s="3"/>
      <c r="J24" s="3"/>
    </row>
    <row r="25" ht="120" customHeight="1" spans="1:10" x14ac:dyDescent="0.25">
      <c r="A25" s="6"/>
      <c r="B25" s="8"/>
      <c r="C25" s="3"/>
      <c r="D25" s="3"/>
      <c r="E25" s="3"/>
      <c r="F25" s="3"/>
      <c r="G25" s="3"/>
      <c r="H25" s="3"/>
      <c r="I25" s="3"/>
      <c r="J25" s="3"/>
    </row>
    <row r="26" ht="120" customHeight="1" spans="1:10" x14ac:dyDescent="0.25">
      <c r="A26" s="6"/>
      <c r="B26" s="8"/>
      <c r="C26" s="3"/>
      <c r="D26" s="3"/>
      <c r="E26" s="3"/>
      <c r="F26" s="3"/>
      <c r="G26" s="3"/>
      <c r="H26" s="3"/>
      <c r="I26" s="3"/>
      <c r="J26" s="3"/>
    </row>
    <row r="27" ht="120" customHeight="1" spans="1:10" x14ac:dyDescent="0.25">
      <c r="A27" s="6"/>
      <c r="B27" s="8"/>
      <c r="C27" s="3"/>
      <c r="D27" s="3"/>
      <c r="E27" s="3"/>
      <c r="F27" s="3"/>
      <c r="G27" s="3"/>
      <c r="H27" s="3"/>
      <c r="I27" s="3"/>
      <c r="J27" s="3"/>
    </row>
    <row r="28" ht="120" customHeight="1" spans="1:10" x14ac:dyDescent="0.25">
      <c r="A28" s="6"/>
      <c r="B28" s="8"/>
      <c r="C28" s="3"/>
      <c r="D28" s="3"/>
      <c r="E28" s="3"/>
      <c r="F28" s="3"/>
      <c r="G28" s="3"/>
      <c r="H28" s="3"/>
      <c r="I28" s="3"/>
      <c r="J28" s="3"/>
    </row>
    <row r="29" ht="120" customHeight="1" spans="1:10" x14ac:dyDescent="0.25">
      <c r="A29" s="6"/>
      <c r="B29" s="8"/>
      <c r="C29" s="3"/>
      <c r="D29" s="3"/>
      <c r="E29" s="3"/>
      <c r="F29" s="3"/>
      <c r="G29" s="3"/>
      <c r="H29" s="3"/>
      <c r="I29" s="3"/>
      <c r="J29" s="3"/>
    </row>
    <row r="30" ht="120" customHeight="1" spans="1:10" x14ac:dyDescent="0.25">
      <c r="A30" s="6"/>
      <c r="B30" s="8"/>
      <c r="C30" s="3"/>
      <c r="D30" s="3"/>
      <c r="E30" s="3"/>
      <c r="F30" s="3"/>
      <c r="G30" s="3"/>
      <c r="H30" s="3"/>
      <c r="I30" s="3"/>
      <c r="J30" s="3"/>
    </row>
    <row r="31" ht="120" customHeight="1" spans="1:10" x14ac:dyDescent="0.25">
      <c r="A31" s="6"/>
      <c r="B31" s="8"/>
      <c r="C31" s="3"/>
      <c r="D31" s="3"/>
      <c r="E31" s="3"/>
      <c r="F31" s="3"/>
      <c r="G31" s="3"/>
      <c r="H31" s="3"/>
      <c r="I31" s="3"/>
      <c r="J31" s="3"/>
    </row>
    <row r="32" ht="120" customHeight="1" spans="1:10" x14ac:dyDescent="0.25">
      <c r="A32" s="6"/>
      <c r="B32" s="8"/>
      <c r="C32" s="3"/>
      <c r="D32" s="3"/>
      <c r="E32" s="3"/>
      <c r="F32" s="3"/>
      <c r="G32" s="3"/>
      <c r="H32" s="3"/>
      <c r="I32" s="3"/>
      <c r="J32" s="3"/>
    </row>
    <row r="33" ht="120" customHeight="1" spans="1:10" x14ac:dyDescent="0.25">
      <c r="A33" s="6"/>
      <c r="B33" s="8"/>
      <c r="C33" s="3"/>
      <c r="D33" s="3"/>
      <c r="E33" s="3"/>
      <c r="F33" s="3"/>
      <c r="G33" s="3"/>
      <c r="H33" s="3"/>
      <c r="I33" s="3"/>
      <c r="J33" s="3"/>
    </row>
    <row r="34" ht="120" customHeight="1" spans="1:10" x14ac:dyDescent="0.25">
      <c r="A34" s="6"/>
      <c r="B34" s="8"/>
      <c r="C34" s="3"/>
      <c r="D34" s="3"/>
      <c r="E34" s="3"/>
      <c r="F34" s="3"/>
      <c r="G34" s="3"/>
      <c r="H34" s="3"/>
      <c r="I34" s="3"/>
      <c r="J34" s="3"/>
    </row>
    <row r="35" ht="120" customHeight="1" spans="1:10" x14ac:dyDescent="0.25">
      <c r="A35" s="6"/>
      <c r="B35" s="8"/>
      <c r="C35" s="3"/>
      <c r="D35" s="3"/>
      <c r="E35" s="3"/>
      <c r="F35" s="3"/>
      <c r="G35" s="3"/>
      <c r="H35" s="3"/>
      <c r="I35" s="3"/>
      <c r="J35" s="3"/>
    </row>
    <row r="36" ht="120" customHeight="1" spans="1:10" x14ac:dyDescent="0.25">
      <c r="A36" s="6"/>
      <c r="B36" s="8"/>
      <c r="C36" s="3"/>
      <c r="D36" s="3"/>
      <c r="E36" s="3"/>
      <c r="F36" s="3"/>
      <c r="G36" s="3"/>
      <c r="H36" s="3"/>
      <c r="I36" s="3"/>
      <c r="J36" s="3"/>
    </row>
    <row r="37" ht="120" customHeight="1" spans="1:10" x14ac:dyDescent="0.25">
      <c r="A37" s="6"/>
      <c r="B37" s="8"/>
      <c r="C37" s="3"/>
      <c r="D37" s="3"/>
      <c r="E37" s="3"/>
      <c r="F37" s="3"/>
      <c r="G37" s="3"/>
      <c r="H37" s="3"/>
      <c r="I37" s="3"/>
      <c r="J37" s="3"/>
    </row>
    <row r="38" ht="120" customHeight="1" spans="1:10" x14ac:dyDescent="0.25">
      <c r="A38" s="6"/>
      <c r="B38" s="8"/>
      <c r="C38" s="3"/>
      <c r="D38" s="3"/>
      <c r="E38" s="3"/>
      <c r="F38" s="3"/>
      <c r="G38" s="3"/>
      <c r="H38" s="3"/>
      <c r="I38" s="3"/>
      <c r="J38" s="3"/>
    </row>
    <row r="39" ht="120" customHeight="1" spans="1:10" x14ac:dyDescent="0.25">
      <c r="A39" s="6"/>
      <c r="B39" s="8"/>
      <c r="C39" s="3"/>
      <c r="D39" s="3"/>
      <c r="E39" s="3"/>
      <c r="F39" s="3"/>
      <c r="G39" s="3"/>
      <c r="H39" s="3"/>
      <c r="I39" s="3"/>
      <c r="J39" s="3"/>
    </row>
    <row r="40" ht="120" customHeight="1" spans="1:10" x14ac:dyDescent="0.25">
      <c r="A40" s="6"/>
      <c r="B40" s="8"/>
      <c r="C40" s="3"/>
      <c r="D40" s="3"/>
      <c r="E40" s="3"/>
      <c r="F40" s="3"/>
      <c r="G40" s="3"/>
      <c r="H40" s="3"/>
      <c r="I40" s="3"/>
      <c r="J40" s="3"/>
    </row>
    <row r="41" ht="120" customHeight="1" spans="1:10" x14ac:dyDescent="0.25">
      <c r="A41" s="6"/>
      <c r="B41" s="8"/>
      <c r="C41" s="3"/>
      <c r="D41" s="3"/>
      <c r="E41" s="3"/>
      <c r="F41" s="3"/>
      <c r="G41" s="3"/>
      <c r="H41" s="3"/>
      <c r="I41" s="3"/>
      <c r="J41" s="3"/>
    </row>
    <row r="42" ht="120" customHeight="1" spans="1:10" x14ac:dyDescent="0.25">
      <c r="A42" s="6"/>
      <c r="B42" s="8"/>
      <c r="C42" s="3"/>
      <c r="D42" s="3"/>
      <c r="E42" s="3"/>
      <c r="F42" s="3"/>
      <c r="G42" s="3"/>
      <c r="H42" s="3"/>
      <c r="I42" s="3"/>
      <c r="J42" s="3"/>
    </row>
    <row r="43" ht="120" customHeight="1" spans="1:10" x14ac:dyDescent="0.25">
      <c r="A43" s="6"/>
      <c r="B43" s="8"/>
      <c r="C43" s="3"/>
      <c r="D43" s="3"/>
      <c r="E43" s="3"/>
      <c r="F43" s="3"/>
      <c r="G43" s="3"/>
      <c r="H43" s="3"/>
      <c r="I43" s="3"/>
      <c r="J43" s="3"/>
    </row>
    <row r="44" ht="120" customHeight="1" spans="1:10" x14ac:dyDescent="0.25">
      <c r="A44" s="6"/>
      <c r="B44" s="8"/>
      <c r="C44" s="3"/>
      <c r="D44" s="3"/>
      <c r="E44" s="3"/>
      <c r="F44" s="3"/>
      <c r="G44" s="3"/>
      <c r="H44" s="3"/>
      <c r="I44" s="3"/>
      <c r="J44" s="3"/>
    </row>
    <row r="45" ht="120" customHeight="1" spans="1:10" x14ac:dyDescent="0.25">
      <c r="A45" s="6"/>
      <c r="B45" s="8"/>
      <c r="C45" s="3"/>
      <c r="D45" s="3"/>
      <c r="E45" s="3"/>
      <c r="F45" s="3"/>
      <c r="G45" s="3"/>
      <c r="H45" s="3"/>
      <c r="I45" s="3"/>
      <c r="J45" s="3"/>
    </row>
    <row r="46" ht="120" customHeight="1" spans="1:10" x14ac:dyDescent="0.25">
      <c r="A46" s="6"/>
      <c r="B46" s="8"/>
      <c r="C46" s="3"/>
      <c r="D46" s="3"/>
      <c r="E46" s="3"/>
      <c r="F46" s="3"/>
      <c r="G46" s="3"/>
      <c r="H46" s="3"/>
      <c r="I46" s="3"/>
      <c r="J46" s="3"/>
    </row>
    <row r="47" ht="120" customHeight="1" spans="1:10" x14ac:dyDescent="0.25">
      <c r="A47" s="6"/>
      <c r="B47" s="8"/>
      <c r="C47" s="3"/>
      <c r="D47" s="3"/>
      <c r="E47" s="3"/>
      <c r="F47" s="3"/>
      <c r="G47" s="3"/>
      <c r="H47" s="3"/>
      <c r="I47" s="3"/>
      <c r="J47" s="3"/>
    </row>
    <row r="48" ht="120" customHeight="1" spans="1:10" x14ac:dyDescent="0.25">
      <c r="A48" s="6"/>
      <c r="B48" s="8"/>
      <c r="C48" s="3"/>
      <c r="D48" s="3"/>
      <c r="E48" s="3"/>
      <c r="F48" s="3"/>
      <c r="G48" s="3"/>
      <c r="H48" s="3"/>
      <c r="I48" s="3"/>
      <c r="J48" s="3"/>
    </row>
    <row r="49" ht="120" customHeight="1" spans="1:10" x14ac:dyDescent="0.25">
      <c r="A49" s="6"/>
      <c r="B49" s="8"/>
      <c r="C49" s="3"/>
      <c r="D49" s="3"/>
      <c r="E49" s="3"/>
      <c r="F49" s="3"/>
      <c r="G49" s="3"/>
      <c r="H49" s="3"/>
      <c r="I49" s="3"/>
      <c r="J49" s="3"/>
    </row>
    <row r="50" ht="120" customHeight="1" spans="1:10" x14ac:dyDescent="0.25">
      <c r="A50" s="6"/>
      <c r="B50" s="8"/>
      <c r="C50" s="3"/>
      <c r="D50" s="3"/>
      <c r="E50" s="3"/>
      <c r="F50" s="3"/>
      <c r="G50" s="3"/>
      <c r="H50" s="3"/>
      <c r="I50" s="3"/>
      <c r="J50" s="3"/>
    </row>
    <row r="51" ht="120" customHeight="1" spans="1:10" x14ac:dyDescent="0.25">
      <c r="A51" s="6"/>
      <c r="B51" s="8"/>
      <c r="C51" s="3"/>
      <c r="D51" s="3"/>
      <c r="E51" s="3"/>
      <c r="F51" s="3"/>
      <c r="G51" s="3"/>
      <c r="H51" s="3"/>
      <c r="I51" s="3"/>
      <c r="J51" s="3"/>
    </row>
    <row r="52" ht="120" customHeight="1" spans="1:10" x14ac:dyDescent="0.25">
      <c r="A52" s="6"/>
      <c r="B52" s="8"/>
      <c r="C52" s="3"/>
      <c r="D52" s="3"/>
      <c r="E52" s="3"/>
      <c r="F52" s="3"/>
      <c r="G52" s="3"/>
      <c r="H52" s="3"/>
      <c r="I52" s="3"/>
      <c r="J52" s="3"/>
    </row>
    <row r="53" ht="120" customHeight="1" spans="1:10" x14ac:dyDescent="0.25">
      <c r="A53" s="6"/>
      <c r="B53" s="8"/>
      <c r="C53" s="3"/>
      <c r="D53" s="3"/>
      <c r="E53" s="3"/>
      <c r="F53" s="3"/>
      <c r="G53" s="3"/>
      <c r="H53" s="3"/>
      <c r="I53" s="3"/>
      <c r="J53" s="3"/>
    </row>
    <row r="54" ht="120" customHeight="1" spans="1:10" x14ac:dyDescent="0.25">
      <c r="A54" s="6"/>
      <c r="B54" s="9"/>
      <c r="C54" s="3"/>
      <c r="D54" s="3"/>
      <c r="E54" s="3"/>
      <c r="F54" s="3"/>
      <c r="G54" s="3"/>
      <c r="H54" s="3"/>
      <c r="I54" s="3"/>
      <c r="J54" s="3"/>
    </row>
    <row r="55" ht="120" customHeight="1" spans="3:10" x14ac:dyDescent="0.25">
      <c r="C55" s="3"/>
      <c r="D55" s="3"/>
      <c r="E55" s="3"/>
      <c r="F55" s="3"/>
      <c r="G55" s="3"/>
      <c r="H55" s="3"/>
      <c r="I55" s="3"/>
      <c r="J55" s="3"/>
    </row>
    <row r="56" ht="120" customHeight="1" spans="3:10" x14ac:dyDescent="0.25">
      <c r="C56" s="3"/>
      <c r="D56" s="3"/>
      <c r="E56" s="3"/>
      <c r="F56" s="3"/>
      <c r="G56" s="3"/>
      <c r="H56" s="3"/>
      <c r="I56" s="3"/>
      <c r="J56" s="3"/>
    </row>
    <row r="57" ht="120" customHeight="1" spans="3:10" x14ac:dyDescent="0.25">
      <c r="C57" s="3"/>
      <c r="D57" s="3"/>
      <c r="E57" s="3"/>
      <c r="F57" s="3"/>
      <c r="G57" s="3"/>
      <c r="H57" s="3"/>
      <c r="I57" s="3"/>
      <c r="J57" s="3"/>
    </row>
    <row r="58" ht="120" customHeight="1" spans="3:10" x14ac:dyDescent="0.25">
      <c r="C58" s="3"/>
      <c r="D58" s="3"/>
      <c r="E58" s="3"/>
      <c r="F58" s="3"/>
      <c r="G58" s="3"/>
      <c r="H58" s="3"/>
      <c r="I58" s="3"/>
      <c r="J58" s="3"/>
    </row>
    <row r="59" ht="120" customHeight="1" spans="3:10" x14ac:dyDescent="0.25">
      <c r="C59" s="3"/>
      <c r="D59" s="3"/>
      <c r="E59" s="3"/>
      <c r="F59" s="3"/>
      <c r="G59" s="3"/>
      <c r="H59" s="3"/>
      <c r="I59" s="3"/>
      <c r="J59" s="3"/>
    </row>
    <row r="60" ht="120" customHeight="1" spans="3:10" x14ac:dyDescent="0.25">
      <c r="C60" s="3"/>
      <c r="D60" s="3"/>
      <c r="E60" s="3"/>
      <c r="F60" s="3"/>
      <c r="G60" s="3"/>
      <c r="H60" s="3"/>
      <c r="I60" s="3"/>
      <c r="J60" s="3"/>
    </row>
    <row r="61" ht="120" customHeight="1" spans="3:10" x14ac:dyDescent="0.25">
      <c r="C61" s="3"/>
      <c r="D61" s="3"/>
      <c r="E61" s="3"/>
      <c r="F61" s="3"/>
      <c r="G61" s="3"/>
      <c r="H61" s="3"/>
      <c r="I61" s="3"/>
      <c r="J61" s="3"/>
    </row>
    <row r="62" ht="120" customHeight="1" spans="3:10" x14ac:dyDescent="0.25">
      <c r="C62" s="3"/>
      <c r="D62" s="3"/>
      <c r="E62" s="3"/>
      <c r="F62" s="3"/>
      <c r="G62" s="3"/>
      <c r="H62" s="3"/>
      <c r="I62" s="3"/>
      <c r="J62" s="3"/>
    </row>
    <row r="63" ht="120" customHeight="1" spans="3:10" x14ac:dyDescent="0.25">
      <c r="C63" s="3"/>
      <c r="D63" s="3"/>
      <c r="E63" s="3"/>
      <c r="F63" s="3"/>
      <c r="G63" s="3"/>
      <c r="H63" s="3"/>
      <c r="I63" s="3"/>
      <c r="J63" s="3"/>
    </row>
    <row r="64" ht="120" customHeight="1" spans="3:10" x14ac:dyDescent="0.25">
      <c r="C64" s="3"/>
      <c r="D64" s="3"/>
      <c r="E64" s="3"/>
      <c r="F64" s="3"/>
      <c r="G64" s="3"/>
      <c r="H64" s="3"/>
      <c r="I64" s="3"/>
      <c r="J64" s="3"/>
    </row>
    <row r="65" ht="120" customHeight="1" spans="3:10" x14ac:dyDescent="0.25">
      <c r="C65" s="3"/>
      <c r="D65" s="3"/>
      <c r="E65" s="3"/>
      <c r="F65" s="3"/>
      <c r="G65" s="3"/>
      <c r="H65" s="3"/>
      <c r="I65" s="3"/>
      <c r="J65" s="3"/>
    </row>
    <row r="66" ht="120" customHeight="1" spans="3:10" x14ac:dyDescent="0.25">
      <c r="C66" s="3"/>
      <c r="D66" s="3"/>
      <c r="E66" s="3"/>
      <c r="F66" s="3"/>
      <c r="G66" s="3"/>
      <c r="H66" s="3"/>
      <c r="I66" s="3"/>
      <c r="J66" s="3"/>
    </row>
    <row r="67" ht="120" customHeight="1" spans="3:10" x14ac:dyDescent="0.25">
      <c r="C67" s="3"/>
      <c r="D67" s="3"/>
      <c r="E67" s="3"/>
      <c r="F67" s="3"/>
      <c r="G67" s="3"/>
      <c r="H67" s="3"/>
      <c r="I67" s="3"/>
      <c r="J67" s="3"/>
    </row>
    <row r="68" ht="120" customHeight="1" spans="3:10" x14ac:dyDescent="0.25">
      <c r="C68" s="3"/>
      <c r="D68" s="3"/>
      <c r="E68" s="3"/>
      <c r="F68" s="3"/>
      <c r="G68" s="3"/>
      <c r="H68" s="3"/>
      <c r="I68" s="3"/>
      <c r="J68" s="3"/>
    </row>
    <row r="69" ht="120" customHeight="1" spans="3:10" x14ac:dyDescent="0.25">
      <c r="C69" s="3"/>
      <c r="D69" s="3"/>
      <c r="E69" s="3"/>
      <c r="F69" s="3"/>
      <c r="G69" s="3"/>
      <c r="H69" s="3"/>
      <c r="I69" s="3"/>
      <c r="J69" s="3"/>
    </row>
    <row r="70" ht="120" customHeight="1" spans="3:10" x14ac:dyDescent="0.25">
      <c r="C70" s="3"/>
      <c r="D70" s="3"/>
      <c r="E70" s="3"/>
      <c r="F70" s="3"/>
      <c r="G70" s="3"/>
      <c r="H70" s="3"/>
      <c r="I70" s="3"/>
      <c r="J70" s="3"/>
    </row>
    <row r="71" ht="120" customHeight="1" spans="3:10" x14ac:dyDescent="0.25">
      <c r="C71" s="3"/>
      <c r="D71" s="3"/>
      <c r="E71" s="3"/>
      <c r="F71" s="3"/>
      <c r="G71" s="3"/>
      <c r="H71" s="3"/>
      <c r="I71" s="3"/>
      <c r="J71" s="3"/>
    </row>
    <row r="72" ht="120" customHeight="1" spans="3:10" x14ac:dyDescent="0.25">
      <c r="C72" s="3"/>
      <c r="D72" s="3"/>
      <c r="E72" s="3"/>
      <c r="F72" s="3"/>
      <c r="G72" s="3"/>
      <c r="H72" s="3"/>
      <c r="I72" s="3"/>
      <c r="J72" s="3"/>
    </row>
    <row r="73" ht="120" customHeight="1" spans="3:10" x14ac:dyDescent="0.25">
      <c r="C73" s="3"/>
      <c r="D73" s="3"/>
      <c r="E73" s="3"/>
      <c r="F73" s="3"/>
      <c r="G73" s="3"/>
      <c r="H73" s="3"/>
      <c r="I73" s="3"/>
      <c r="J73" s="3"/>
    </row>
    <row r="74" ht="120" customHeight="1" spans="3:10" x14ac:dyDescent="0.25">
      <c r="C74" s="3"/>
      <c r="D74" s="3"/>
      <c r="E74" s="3"/>
      <c r="F74" s="3"/>
      <c r="G74" s="3"/>
      <c r="H74" s="3"/>
      <c r="I74" s="3"/>
      <c r="J74" s="3"/>
    </row>
    <row r="75" ht="120" customHeight="1" spans="3:10" x14ac:dyDescent="0.25">
      <c r="C75" s="3"/>
      <c r="D75" s="3"/>
      <c r="E75" s="3"/>
      <c r="F75" s="3"/>
      <c r="G75" s="3"/>
      <c r="H75" s="3"/>
      <c r="I75" s="3"/>
      <c r="J75" s="3"/>
    </row>
    <row r="76" ht="120" customHeight="1" spans="3:10" x14ac:dyDescent="0.25">
      <c r="C76" s="3"/>
      <c r="D76" s="3"/>
      <c r="E76" s="3"/>
      <c r="F76" s="3"/>
      <c r="G76" s="3"/>
      <c r="H76" s="3"/>
      <c r="I76" s="3"/>
      <c r="J76" s="3"/>
    </row>
    <row r="77" ht="120" customHeight="1" spans="3:10" x14ac:dyDescent="0.25">
      <c r="C77" s="3"/>
      <c r="D77" s="3"/>
      <c r="E77" s="3"/>
      <c r="F77" s="3"/>
      <c r="G77" s="3"/>
      <c r="H77" s="3"/>
      <c r="I77" s="3"/>
      <c r="J77" s="3"/>
    </row>
    <row r="78" ht="120" customHeight="1" spans="3:10" x14ac:dyDescent="0.25">
      <c r="C78" s="3"/>
      <c r="D78" s="3"/>
      <c r="E78" s="3"/>
      <c r="F78" s="3"/>
      <c r="G78" s="3"/>
      <c r="H78" s="3"/>
      <c r="I78" s="3"/>
      <c r="J78" s="3"/>
    </row>
    <row r="79" ht="120" customHeight="1" spans="3:10" x14ac:dyDescent="0.25">
      <c r="C79" s="3"/>
      <c r="D79" s="3"/>
      <c r="E79" s="3"/>
      <c r="F79" s="3"/>
      <c r="G79" s="3"/>
      <c r="H79" s="3"/>
      <c r="I79" s="3"/>
      <c r="J79" s="3"/>
    </row>
    <row r="80" ht="120" customHeight="1" spans="3:10" x14ac:dyDescent="0.25">
      <c r="C80" s="3"/>
      <c r="D80" s="3"/>
      <c r="E80" s="3"/>
      <c r="F80" s="3"/>
      <c r="G80" s="3"/>
      <c r="H80" s="3"/>
      <c r="I80" s="3"/>
      <c r="J80" s="3"/>
    </row>
    <row r="81" ht="120" customHeight="1" spans="3:10" x14ac:dyDescent="0.25">
      <c r="C81" s="3"/>
      <c r="D81" s="3"/>
      <c r="E81" s="3"/>
      <c r="F81" s="3"/>
      <c r="G81" s="3"/>
      <c r="H81" s="3"/>
      <c r="I81" s="3"/>
      <c r="J81" s="3"/>
    </row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autoFilter ref="C1:J8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FormatPr defaultRowHeight="15" outlineLevelRow="0" outlineLevelCol="0" x14ac:dyDescent="55"/>
  <cols>
    <col min="1" max="1" width="40" customWidth="1"/>
    <col min="2" max="2" width="18" customWidth="1"/>
    <col min="3" max="24" width="13.571428571428571" customWidth="1"/>
  </cols>
  <sheetData>
    <row r="1" ht="12" customHeight="1" spans="1:2" x14ac:dyDescent="0.25">
      <c r="A1" s="4" t="s">
        <v>18</v>
      </c>
      <c r="B1" s="4" t="s">
        <v>35</v>
      </c>
    </row>
    <row r="2" ht="12" customHeight="1" spans="1:2" x14ac:dyDescent="0.25">
      <c r="A2" s="10" t="s">
        <v>28</v>
      </c>
      <c r="B2" s="10">
        <f>COUNTIF(Tasks!$D$2:$D$81,A2)</f>
      </c>
    </row>
    <row r="3" ht="12" customHeight="1" spans="1:2" x14ac:dyDescent="0.25">
      <c r="A3" s="10" t="s">
        <v>36</v>
      </c>
      <c r="B3" s="10">
        <f>COUNTIF(Tasks!$D$2:$D$81,A3)</f>
      </c>
    </row>
    <row r="4" ht="12" customHeight="1" spans="1:2" x14ac:dyDescent="0.25">
      <c r="A4" s="10" t="s">
        <v>37</v>
      </c>
      <c r="B4" s="10">
        <f>COUNTIF(Tasks!$D$2:$D$81,A4)</f>
      </c>
    </row>
    <row r="5" ht="12" customHeight="1" spans="1:2" x14ac:dyDescent="0.25">
      <c r="A5" s="10" t="s">
        <v>38</v>
      </c>
      <c r="B5" s="10">
        <f>COUNTIF(Tasks!$D$2:$D$81,A5)</f>
      </c>
    </row>
    <row r="6" ht="12" customHeight="1" spans="1:2" x14ac:dyDescent="0.25">
      <c r="A6" s="10" t="s">
        <v>39</v>
      </c>
      <c r="B6" s="10">
        <f>COUNTIF(Tasks!$D$2:$D$81,A6)</f>
      </c>
    </row>
    <row r="7" ht="12" customHeight="1" spans="1:2" x14ac:dyDescent="0.25">
      <c r="A7" s="10" t="s">
        <v>40</v>
      </c>
      <c r="B7" s="10">
        <f>COUNTIF(Tasks!$D$2:$D$81,A7)</f>
      </c>
    </row>
    <row r="8" ht="12" customHeight="1" spans="1:2" x14ac:dyDescent="0.25">
      <c r="A8" s="11" t="s">
        <v>41</v>
      </c>
      <c r="B8" s="11">
        <f>SUM(B2:B7)</f>
      </c>
    </row>
    <row r="9" ht="12" customHeight="1" x14ac:dyDescent="0.25"/>
    <row r="10" ht="12" customHeight="1" x14ac:dyDescent="0.25"/>
    <row r="11" ht="12" customHeight="1" x14ac:dyDescent="0.25"/>
    <row r="12" ht="12" customHeight="1" x14ac:dyDescent="0.25"/>
    <row r="13" ht="12" customHeight="1" x14ac:dyDescent="0.25"/>
    <row r="14" ht="12" customHeight="1" x14ac:dyDescent="0.25"/>
    <row r="15" ht="12" customHeight="1" x14ac:dyDescent="0.25"/>
    <row r="16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FormatPr defaultRowHeight="15" outlineLevelRow="0" outlineLevelCol="0" x14ac:dyDescent="55"/>
  <cols>
    <col min="1" max="1" width="34" customWidth="1"/>
    <col min="2" max="2" width="9.285714285714286" customWidth="1"/>
    <col min="3" max="3" width="42.142857142857146" customWidth="1"/>
    <col min="4" max="4" width="24" customWidth="1"/>
    <col min="5" max="6" width="20" customWidth="1"/>
    <col min="7" max="7" width="18" customWidth="1"/>
    <col min="8" max="24" width="13.571428571428571" customWidth="1"/>
  </cols>
  <sheetData>
    <row r="1" ht="12" customHeight="1" spans="1:7" x14ac:dyDescent="0.25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47</v>
      </c>
      <c r="G1" s="4" t="s">
        <v>48</v>
      </c>
    </row>
    <row r="2" ht="45" customHeight="1" spans="1:7" x14ac:dyDescent="0.25">
      <c r="A2" s="3" t="s">
        <v>49</v>
      </c>
      <c r="B2" s="3">
        <v>8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</row>
    <row r="3" ht="45" customHeight="1" spans="1:7" x14ac:dyDescent="0.25">
      <c r="A3" s="3" t="s">
        <v>55</v>
      </c>
      <c r="B3" s="3">
        <v>7</v>
      </c>
      <c r="C3" s="3" t="s">
        <v>56</v>
      </c>
      <c r="D3" s="3" t="s">
        <v>57</v>
      </c>
      <c r="E3" s="3" t="s">
        <v>58</v>
      </c>
      <c r="F3" s="3" t="s">
        <v>59</v>
      </c>
      <c r="G3" s="3" t="s">
        <v>60</v>
      </c>
    </row>
    <row r="4" ht="45" customHeight="1" spans="1:7" x14ac:dyDescent="0.25">
      <c r="A4" s="3" t="s">
        <v>61</v>
      </c>
      <c r="B4" s="3">
        <v>5</v>
      </c>
      <c r="C4" s="3" t="s">
        <v>62</v>
      </c>
      <c r="D4" s="3" t="s">
        <v>63</v>
      </c>
      <c r="E4" s="3" t="s">
        <v>64</v>
      </c>
      <c r="F4" s="3" t="s">
        <v>65</v>
      </c>
      <c r="G4" s="3" t="s">
        <v>66</v>
      </c>
    </row>
    <row r="5" ht="45" customHeight="1" spans="1:7" x14ac:dyDescent="0.25">
      <c r="A5" s="3" t="s">
        <v>67</v>
      </c>
      <c r="B5" s="3">
        <v>6</v>
      </c>
      <c r="C5" s="3" t="s">
        <v>68</v>
      </c>
      <c r="D5" s="3" t="s">
        <v>69</v>
      </c>
      <c r="E5" s="3" t="s">
        <v>70</v>
      </c>
      <c r="F5" s="3" t="s">
        <v>71</v>
      </c>
      <c r="G5" s="3" t="s">
        <v>72</v>
      </c>
    </row>
    <row r="6" ht="45" customHeight="1" spans="1:7" x14ac:dyDescent="0.25">
      <c r="A6" s="3" t="s">
        <v>73</v>
      </c>
      <c r="B6" s="3">
        <v>4</v>
      </c>
      <c r="C6" s="3" t="s">
        <v>74</v>
      </c>
      <c r="D6" s="3" t="s">
        <v>75</v>
      </c>
      <c r="E6" s="3" t="s">
        <v>76</v>
      </c>
      <c r="F6" s="3" t="s">
        <v>77</v>
      </c>
      <c r="G6" s="3" t="s">
        <v>72</v>
      </c>
    </row>
    <row r="7" ht="12" customHeight="1" spans="1:2" x14ac:dyDescent="0.25">
      <c r="A7" s="11" t="s">
        <v>41</v>
      </c>
      <c r="B7" s="11">
        <f>SUM(B2:B6)</f>
      </c>
    </row>
    <row r="8" ht="12" customHeight="1" x14ac:dyDescent="0.25"/>
    <row r="9" ht="12" customHeight="1" x14ac:dyDescent="0.25"/>
    <row r="10" ht="12" customHeight="1" x14ac:dyDescent="0.25"/>
    <row r="11" ht="12" customHeight="1" x14ac:dyDescent="0.25"/>
    <row r="12" ht="12" customHeight="1" x14ac:dyDescent="0.25"/>
    <row r="13" ht="12" customHeight="1" x14ac:dyDescent="0.25"/>
    <row r="14" ht="12" customHeight="1" x14ac:dyDescent="0.25"/>
    <row r="15" ht="12" customHeight="1" x14ac:dyDescent="0.25"/>
    <row r="16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9.285714285714286" customWidth="1"/>
    <col min="4" max="7" width="12" customWidth="1"/>
    <col min="8" max="9" width="14" customWidth="1"/>
    <col min="10" max="10" width="11" customWidth="1"/>
    <col min="11" max="11" width="14" customWidth="1"/>
    <col min="12" max="12" width="40" customWidth="1"/>
    <col min="13" max="24" width="13.571428571428571" customWidth="1"/>
  </cols>
  <sheetData>
    <row r="1" ht="12" customHeight="1" spans="1:1" x14ac:dyDescent="0.25">
      <c r="A1" s="11" t="s">
        <v>78</v>
      </c>
    </row>
    <row r="2" ht="12" customHeight="1" spans="1:12" x14ac:dyDescent="0.25">
      <c r="A2" s="4" t="s">
        <v>79</v>
      </c>
      <c r="B2" s="4" t="s">
        <v>80</v>
      </c>
      <c r="C2" s="4" t="s">
        <v>17</v>
      </c>
      <c r="D2" s="4" t="s">
        <v>81</v>
      </c>
      <c r="E2" s="4" t="s">
        <v>82</v>
      </c>
      <c r="F2" s="4" t="s">
        <v>83</v>
      </c>
      <c r="G2" s="4" t="s">
        <v>84</v>
      </c>
      <c r="H2" s="4" t="s">
        <v>85</v>
      </c>
      <c r="I2" s="4" t="s">
        <v>86</v>
      </c>
      <c r="J2" s="4" t="s">
        <v>87</v>
      </c>
      <c r="K2" s="4" t="s">
        <v>88</v>
      </c>
      <c r="L2" s="4" t="s">
        <v>89</v>
      </c>
    </row>
    <row r="3" ht="12" customHeight="1" spans="1:12" x14ac:dyDescent="0.25">
      <c r="A3" s="12" t="s">
        <v>90</v>
      </c>
      <c r="B3" s="12" t="s">
        <v>91</v>
      </c>
      <c r="C3" s="12" t="s">
        <v>92</v>
      </c>
      <c r="D3" s="12">
        <v>7</v>
      </c>
      <c r="E3" s="12">
        <v>6</v>
      </c>
      <c r="F3" s="12">
        <v>4</v>
      </c>
      <c r="G3" s="12">
        <v>5</v>
      </c>
      <c r="H3" s="12">
        <v>3</v>
      </c>
      <c r="I3" s="12">
        <v>0</v>
      </c>
      <c r="J3" s="13">
        <f>IF(COUNT(D3:H3)=0,"",MAX(0,SUM(D3:H3)+N(I3)))</f>
      </c>
      <c r="K3" s="13">
        <f>IF(J3="","",IF(J3&gt;=27,"Outstanding",IF(J3&gt;=22,"Very good",IF(J3&gt;=17,"Good",IF(J3&gt;=12,"Satisfactory","Needs rework")))))</f>
      </c>
      <c r="L3" s="14"/>
    </row>
    <row r="4" ht="12" customHeight="1" spans="1:12" x14ac:dyDescent="0.25">
      <c r="A4" s="14"/>
      <c r="B4" s="14"/>
      <c r="C4" s="14"/>
      <c r="D4" s="14"/>
      <c r="E4" s="14"/>
      <c r="F4" s="14"/>
      <c r="G4" s="14"/>
      <c r="H4" s="14"/>
      <c r="I4" s="14"/>
      <c r="J4" s="13">
        <f>IF(COUNT(D4:H4)=0,"",MAX(0,SUM(D4:H4)+N(I4)))</f>
      </c>
      <c r="K4" s="13">
        <f>IF(J4="","",IF(J4&gt;=27,"Outstanding",IF(J4&gt;=22,"Very good",IF(J4&gt;=17,"Good",IF(J4&gt;=12,"Satisfactory","Needs rework")))))</f>
      </c>
      <c r="L4" s="14"/>
    </row>
    <row r="5" ht="12" customHeight="1" spans="1:12" x14ac:dyDescent="0.25">
      <c r="A5" s="14"/>
      <c r="B5" s="14"/>
      <c r="C5" s="14"/>
      <c r="D5" s="14"/>
      <c r="E5" s="14"/>
      <c r="F5" s="14"/>
      <c r="G5" s="14"/>
      <c r="H5" s="14"/>
      <c r="I5" s="14"/>
      <c r="J5" s="13">
        <f>IF(COUNT(D5:H5)=0,"",MAX(0,SUM(D5:H5)+N(I5)))</f>
      </c>
      <c r="K5" s="13">
        <f>IF(J5="","",IF(J5&gt;=27,"Outstanding",IF(J5&gt;=22,"Very good",IF(J5&gt;=17,"Good",IF(J5&gt;=12,"Satisfactory","Needs rework")))))</f>
      </c>
      <c r="L5" s="14"/>
    </row>
    <row r="6" ht="12" customHeight="1" spans="1:12" x14ac:dyDescent="0.25">
      <c r="A6" s="14"/>
      <c r="B6" s="14"/>
      <c r="C6" s="14"/>
      <c r="D6" s="14"/>
      <c r="E6" s="14"/>
      <c r="F6" s="14"/>
      <c r="G6" s="14"/>
      <c r="H6" s="14"/>
      <c r="I6" s="14"/>
      <c r="J6" s="13">
        <f>IF(COUNT(D6:H6)=0,"",MAX(0,SUM(D6:H6)+N(I6)))</f>
      </c>
      <c r="K6" s="13">
        <f>IF(J6="","",IF(J6&gt;=27,"Outstanding",IF(J6&gt;=22,"Very good",IF(J6&gt;=17,"Good",IF(J6&gt;=12,"Satisfactory","Needs rework")))))</f>
      </c>
      <c r="L6" s="14"/>
    </row>
    <row r="7" ht="12" customHeight="1" spans="1:12" x14ac:dyDescent="0.25">
      <c r="A7" s="14"/>
      <c r="B7" s="14"/>
      <c r="C7" s="14"/>
      <c r="D7" s="14"/>
      <c r="E7" s="14"/>
      <c r="F7" s="14"/>
      <c r="G7" s="14"/>
      <c r="H7" s="14"/>
      <c r="I7" s="14"/>
      <c r="J7" s="13">
        <f>IF(COUNT(D7:H7)=0,"",MAX(0,SUM(D7:H7)+N(I7)))</f>
      </c>
      <c r="K7" s="13">
        <f>IF(J7="","",IF(J7&gt;=27,"Outstanding",IF(J7&gt;=22,"Very good",IF(J7&gt;=17,"Good",IF(J7&gt;=12,"Satisfactory","Needs rework")))))</f>
      </c>
      <c r="L7" s="14"/>
    </row>
    <row r="8" ht="12" customHeight="1" spans="1:12" x14ac:dyDescent="0.25">
      <c r="A8" s="14"/>
      <c r="B8" s="14"/>
      <c r="C8" s="14"/>
      <c r="D8" s="14"/>
      <c r="E8" s="14"/>
      <c r="F8" s="14"/>
      <c r="G8" s="14"/>
      <c r="H8" s="14"/>
      <c r="I8" s="14"/>
      <c r="J8" s="13">
        <f>IF(COUNT(D8:H8)=0,"",MAX(0,SUM(D8:H8)+N(I8)))</f>
      </c>
      <c r="K8" s="13">
        <f>IF(J8="","",IF(J8&gt;=27,"Outstanding",IF(J8&gt;=22,"Very good",IF(J8&gt;=17,"Good",IF(J8&gt;=12,"Satisfactory","Needs rework")))))</f>
      </c>
      <c r="L8" s="14"/>
    </row>
    <row r="9" ht="12" customHeight="1" spans="1:12" x14ac:dyDescent="0.25">
      <c r="A9" s="14"/>
      <c r="B9" s="14"/>
      <c r="C9" s="14"/>
      <c r="D9" s="14"/>
      <c r="E9" s="14"/>
      <c r="F9" s="14"/>
      <c r="G9" s="14"/>
      <c r="H9" s="14"/>
      <c r="I9" s="14"/>
      <c r="J9" s="13">
        <f>IF(COUNT(D9:H9)=0,"",MAX(0,SUM(D9:H9)+N(I9)))</f>
      </c>
      <c r="K9" s="13">
        <f>IF(J9="","",IF(J9&gt;=27,"Outstanding",IF(J9&gt;=22,"Very good",IF(J9&gt;=17,"Good",IF(J9&gt;=12,"Satisfactory","Needs rework")))))</f>
      </c>
      <c r="L9" s="14"/>
    </row>
    <row r="10" ht="12" customHeight="1" spans="1:12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3">
        <f>IF(COUNT(D10:H10)=0,"",MAX(0,SUM(D10:H10)+N(I10)))</f>
      </c>
      <c r="K10" s="13">
        <f>IF(J10="","",IF(J10&gt;=27,"Outstanding",IF(J10&gt;=22,"Very good",IF(J10&gt;=17,"Good",IF(J10&gt;=12,"Satisfactory","Needs rework")))))</f>
      </c>
      <c r="L10" s="14"/>
    </row>
    <row r="11" ht="12" customHeight="1" spans="1:12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3">
        <f>IF(COUNT(D11:H11)=0,"",MAX(0,SUM(D11:H11)+N(I11)))</f>
      </c>
      <c r="K11" s="13">
        <f>IF(J11="","",IF(J11&gt;=27,"Outstanding",IF(J11&gt;=22,"Very good",IF(J11&gt;=17,"Good",IF(J11&gt;=12,"Satisfactory","Needs rework")))))</f>
      </c>
      <c r="L11" s="14"/>
    </row>
    <row r="12" ht="12" customHeight="1" spans="1:12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3">
        <f>IF(COUNT(D12:H12)=0,"",MAX(0,SUM(D12:H12)+N(I12)))</f>
      </c>
      <c r="K12" s="13">
        <f>IF(J12="","",IF(J12&gt;=27,"Outstanding",IF(J12&gt;=22,"Very good",IF(J12&gt;=17,"Good",IF(J12&gt;=12,"Satisfactory","Needs rework")))))</f>
      </c>
      <c r="L12" s="14"/>
    </row>
    <row r="13" ht="12" customHeight="1" spans="1:12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3">
        <f>IF(COUNT(D13:H13)=0,"",MAX(0,SUM(D13:H13)+N(I13)))</f>
      </c>
      <c r="K13" s="13">
        <f>IF(J13="","",IF(J13&gt;=27,"Outstanding",IF(J13&gt;=22,"Very good",IF(J13&gt;=17,"Good",IF(J13&gt;=12,"Satisfactory","Needs rework")))))</f>
      </c>
      <c r="L13" s="14"/>
    </row>
    <row r="14" ht="12" customHeight="1" spans="1:12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3">
        <f>IF(COUNT(D14:H14)=0,"",MAX(0,SUM(D14:H14)+N(I14)))</f>
      </c>
      <c r="K14" s="13">
        <f>IF(J14="","",IF(J14&gt;=27,"Outstanding",IF(J14&gt;=22,"Very good",IF(J14&gt;=17,"Good",IF(J14&gt;=12,"Satisfactory","Needs rework")))))</f>
      </c>
      <c r="L14" s="14"/>
    </row>
    <row r="15" ht="12" customHeight="1" spans="1:12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3">
        <f>IF(COUNT(D15:H15)=0,"",MAX(0,SUM(D15:H15)+N(I15)))</f>
      </c>
      <c r="K15" s="13">
        <f>IF(J15="","",IF(J15&gt;=27,"Outstanding",IF(J15&gt;=22,"Very good",IF(J15&gt;=17,"Good",IF(J15&gt;=12,"Satisfactory","Needs rework")))))</f>
      </c>
      <c r="L15" s="14"/>
    </row>
    <row r="16" ht="12" customHeight="1" spans="1:12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3">
        <f>IF(COUNT(D16:H16)=0,"",MAX(0,SUM(D16:H16)+N(I16)))</f>
      </c>
      <c r="K16" s="13">
        <f>IF(J16="","",IF(J16&gt;=27,"Outstanding",IF(J16&gt;=22,"Very good",IF(J16&gt;=17,"Good",IF(J16&gt;=12,"Satisfactory","Needs rework")))))</f>
      </c>
      <c r="L16" s="14"/>
    </row>
    <row r="17" ht="12" customHeight="1" spans="1:12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3">
        <f>IF(COUNT(D17:H17)=0,"",MAX(0,SUM(D17:H17)+N(I17)))</f>
      </c>
      <c r="K17" s="13">
        <f>IF(J17="","",IF(J17&gt;=27,"Outstanding",IF(J17&gt;=22,"Very good",IF(J17&gt;=17,"Good",IF(J17&gt;=12,"Satisfactory","Needs rework")))))</f>
      </c>
      <c r="L17" s="14"/>
    </row>
    <row r="18" ht="12" customHeight="1" spans="1:12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3">
        <f>IF(COUNT(D18:H18)=0,"",MAX(0,SUM(D18:H18)+N(I18)))</f>
      </c>
      <c r="K18" s="13">
        <f>IF(J18="","",IF(J18&gt;=27,"Outstanding",IF(J18&gt;=22,"Very good",IF(J18&gt;=17,"Good",IF(J18&gt;=12,"Satisfactory","Needs rework")))))</f>
      </c>
      <c r="L18" s="14"/>
    </row>
    <row r="19" ht="12" customHeight="1" spans="1:12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3">
        <f>IF(COUNT(D19:H19)=0,"",MAX(0,SUM(D19:H19)+N(I19)))</f>
      </c>
      <c r="K19" s="13">
        <f>IF(J19="","",IF(J19&gt;=27,"Outstanding",IF(J19&gt;=22,"Very good",IF(J19&gt;=17,"Good",IF(J19&gt;=12,"Satisfactory","Needs rework")))))</f>
      </c>
      <c r="L19" s="14"/>
    </row>
    <row r="20" ht="12" customHeight="1" spans="1:12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3">
        <f>IF(COUNT(D20:H20)=0,"",MAX(0,SUM(D20:H20)+N(I20)))</f>
      </c>
      <c r="K20" s="13">
        <f>IF(J20="","",IF(J20&gt;=27,"Outstanding",IF(J20&gt;=22,"Very good",IF(J20&gt;=17,"Good",IF(J20&gt;=12,"Satisfactory","Needs rework")))))</f>
      </c>
      <c r="L20" s="14"/>
    </row>
    <row r="21" ht="12" customHeight="1" spans="1:12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3">
        <f>IF(COUNT(D21:H21)=0,"",MAX(0,SUM(D21:H21)+N(I21)))</f>
      </c>
      <c r="K21" s="13">
        <f>IF(J21="","",IF(J21&gt;=27,"Outstanding",IF(J21&gt;=22,"Very good",IF(J21&gt;=17,"Good",IF(J21&gt;=12,"Satisfactory","Needs rework")))))</f>
      </c>
      <c r="L21" s="14"/>
    </row>
    <row r="22" ht="12" customHeight="1" spans="1:12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3">
        <f>IF(COUNT(D22:H22)=0,"",MAX(0,SUM(D22:H22)+N(I22)))</f>
      </c>
      <c r="K22" s="13">
        <f>IF(J22="","",IF(J22&gt;=27,"Outstanding",IF(J22&gt;=22,"Very good",IF(J22&gt;=17,"Good",IF(J22&gt;=12,"Satisfactory","Needs rework")))))</f>
      </c>
      <c r="L22" s="14"/>
    </row>
    <row r="23" ht="12" customHeight="1" spans="1:12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3">
        <f>IF(COUNT(D23:H23)=0,"",MAX(0,SUM(D23:H23)+N(I23)))</f>
      </c>
      <c r="K23" s="13">
        <f>IF(J23="","",IF(J23&gt;=27,"Outstanding",IF(J23&gt;=22,"Very good",IF(J23&gt;=17,"Good",IF(J23&gt;=12,"Satisfactory","Needs rework")))))</f>
      </c>
      <c r="L23" s="14"/>
    </row>
    <row r="24" ht="12" customHeight="1" spans="1:12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3">
        <f>IF(COUNT(D24:H24)=0,"",MAX(0,SUM(D24:H24)+N(I24)))</f>
      </c>
      <c r="K24" s="13">
        <f>IF(J24="","",IF(J24&gt;=27,"Outstanding",IF(J24&gt;=22,"Very good",IF(J24&gt;=17,"Good",IF(J24&gt;=12,"Satisfactory","Needs rework")))))</f>
      </c>
      <c r="L24" s="14"/>
    </row>
    <row r="25" ht="12" customHeight="1" spans="1:12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3">
        <f>IF(COUNT(D25:H25)=0,"",MAX(0,SUM(D25:H25)+N(I25)))</f>
      </c>
      <c r="K25" s="13">
        <f>IF(J25="","",IF(J25&gt;=27,"Outstanding",IF(J25&gt;=22,"Very good",IF(J25&gt;=17,"Good",IF(J25&gt;=12,"Satisfactory","Needs rework")))))</f>
      </c>
      <c r="L25" s="14"/>
    </row>
    <row r="26" ht="12" customHeight="1" spans="1:12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3">
        <f>IF(COUNT(D26:H26)=0,"",MAX(0,SUM(D26:H26)+N(I26)))</f>
      </c>
      <c r="K26" s="13">
        <f>IF(J26="","",IF(J26&gt;=27,"Outstanding",IF(J26&gt;=22,"Very good",IF(J26&gt;=17,"Good",IF(J26&gt;=12,"Satisfactory","Needs rework")))))</f>
      </c>
      <c r="L26" s="14"/>
    </row>
    <row r="27" ht="12" customHeight="1" spans="1:12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3">
        <f>IF(COUNT(D27:H27)=0,"",MAX(0,SUM(D27:H27)+N(I27)))</f>
      </c>
      <c r="K27" s="13">
        <f>IF(J27="","",IF(J27&gt;=27,"Outstanding",IF(J27&gt;=22,"Very good",IF(J27&gt;=17,"Good",IF(J27&gt;=12,"Satisfactory","Needs rework")))))</f>
      </c>
      <c r="L27" s="14"/>
    </row>
    <row r="28" ht="12" customHeight="1" spans="1:12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3">
        <f>IF(COUNT(D28:H28)=0,"",MAX(0,SUM(D28:H28)+N(I28)))</f>
      </c>
      <c r="K28" s="13">
        <f>IF(J28="","",IF(J28&gt;=27,"Outstanding",IF(J28&gt;=22,"Very good",IF(J28&gt;=17,"Good",IF(J28&gt;=12,"Satisfactory","Needs rework")))))</f>
      </c>
      <c r="L28" s="14"/>
    </row>
    <row r="29" ht="12" customHeight="1" spans="1:12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3">
        <f>IF(COUNT(D29:H29)=0,"",MAX(0,SUM(D29:H29)+N(I29)))</f>
      </c>
      <c r="K29" s="13">
        <f>IF(J29="","",IF(J29&gt;=27,"Outstanding",IF(J29&gt;=22,"Very good",IF(J29&gt;=17,"Good",IF(J29&gt;=12,"Satisfactory","Needs rework")))))</f>
      </c>
      <c r="L29" s="14"/>
    </row>
    <row r="30" ht="12" customHeight="1" spans="1:12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3">
        <f>IF(COUNT(D30:H30)=0,"",MAX(0,SUM(D30:H30)+N(I30)))</f>
      </c>
      <c r="K30" s="13">
        <f>IF(J30="","",IF(J30&gt;=27,"Outstanding",IF(J30&gt;=22,"Very good",IF(J30&gt;=17,"Good",IF(J30&gt;=12,"Satisfactory","Needs rework")))))</f>
      </c>
      <c r="L30" s="14"/>
    </row>
    <row r="31" ht="12" customHeight="1" spans="1:12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3">
        <f>IF(COUNT(D31:H31)=0,"",MAX(0,SUM(D31:H31)+N(I31)))</f>
      </c>
      <c r="K31" s="13">
        <f>IF(J31="","",IF(J31&gt;=27,"Outstanding",IF(J31&gt;=22,"Very good",IF(J31&gt;=17,"Good",IF(J31&gt;=12,"Satisfactory","Needs rework")))))</f>
      </c>
      <c r="L31" s="14"/>
    </row>
    <row r="32" ht="12" customHeight="1" spans="1:12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3">
        <f>IF(COUNT(D32:H32)=0,"",MAX(0,SUM(D32:H32)+N(I32)))</f>
      </c>
      <c r="K32" s="13">
        <f>IF(J32="","",IF(J32&gt;=27,"Outstanding",IF(J32&gt;=22,"Very good",IF(J32&gt;=17,"Good",IF(J32&gt;=12,"Satisfactory","Needs rework")))))</f>
      </c>
      <c r="L32" s="14"/>
    </row>
    <row r="33" ht="12" customHeight="1" spans="1:12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3">
        <f>IF(COUNT(D33:H33)=0,"",MAX(0,SUM(D33:H33)+N(I33)))</f>
      </c>
      <c r="K33" s="13">
        <f>IF(J33="","",IF(J33&gt;=27,"Outstanding",IF(J33&gt;=22,"Very good",IF(J33&gt;=17,"Good",IF(J33&gt;=12,"Satisfactory","Needs rework")))))</f>
      </c>
      <c r="L33" s="14"/>
    </row>
    <row r="34" ht="12" customHeight="1" spans="1:12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3">
        <f>IF(COUNT(D34:H34)=0,"",MAX(0,SUM(D34:H34)+N(I34)))</f>
      </c>
      <c r="K34" s="13">
        <f>IF(J34="","",IF(J34&gt;=27,"Outstanding",IF(J34&gt;=22,"Very good",IF(J34&gt;=17,"Good",IF(J34&gt;=12,"Satisfactory","Needs rework")))))</f>
      </c>
      <c r="L34" s="14"/>
    </row>
    <row r="35" ht="12" customHeight="1" spans="1:12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3">
        <f>IF(COUNT(D35:H35)=0,"",MAX(0,SUM(D35:H35)+N(I35)))</f>
      </c>
      <c r="K35" s="13">
        <f>IF(J35="","",IF(J35&gt;=27,"Outstanding",IF(J35&gt;=22,"Very good",IF(J35&gt;=17,"Good",IF(J35&gt;=12,"Satisfactory","Needs rework")))))</f>
      </c>
      <c r="L35" s="14"/>
    </row>
    <row r="36" ht="12" customHeight="1" spans="1:12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3">
        <f>IF(COUNT(D36:H36)=0,"",MAX(0,SUM(D36:H36)+N(I36)))</f>
      </c>
      <c r="K36" s="13">
        <f>IF(J36="","",IF(J36&gt;=27,"Outstanding",IF(J36&gt;=22,"Very good",IF(J36&gt;=17,"Good",IF(J36&gt;=12,"Satisfactory","Needs rework")))))</f>
      </c>
      <c r="L36" s="14"/>
    </row>
    <row r="37" ht="12" customHeight="1" spans="1:12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3">
        <f>IF(COUNT(D37:H37)=0,"",MAX(0,SUM(D37:H37)+N(I37)))</f>
      </c>
      <c r="K37" s="13">
        <f>IF(J37="","",IF(J37&gt;=27,"Outstanding",IF(J37&gt;=22,"Very good",IF(J37&gt;=17,"Good",IF(J37&gt;=12,"Satisfactory","Needs rework")))))</f>
      </c>
      <c r="L37" s="14"/>
    </row>
    <row r="38" ht="12" customHeight="1" spans="1:12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3">
        <f>IF(COUNT(D38:H38)=0,"",MAX(0,SUM(D38:H38)+N(I38)))</f>
      </c>
      <c r="K38" s="13">
        <f>IF(J38="","",IF(J38&gt;=27,"Outstanding",IF(J38&gt;=22,"Very good",IF(J38&gt;=17,"Good",IF(J38&gt;=12,"Satisfactory","Needs rework")))))</f>
      </c>
      <c r="L38" s="14"/>
    </row>
    <row r="39" ht="12" customHeight="1" spans="1:12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3">
        <f>IF(COUNT(D39:H39)=0,"",MAX(0,SUM(D39:H39)+N(I39)))</f>
      </c>
      <c r="K39" s="13">
        <f>IF(J39="","",IF(J39&gt;=27,"Outstanding",IF(J39&gt;=22,"Very good",IF(J39&gt;=17,"Good",IF(J39&gt;=12,"Satisfactory","Needs rework")))))</f>
      </c>
      <c r="L39" s="14"/>
    </row>
    <row r="40" ht="12" customHeight="1" spans="1:12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3">
        <f>IF(COUNT(D40:H40)=0,"",MAX(0,SUM(D40:H40)+N(I40)))</f>
      </c>
      <c r="K40" s="13">
        <f>IF(J40="","",IF(J40&gt;=27,"Outstanding",IF(J40&gt;=22,"Very good",IF(J40&gt;=17,"Good",IF(J40&gt;=12,"Satisfactory","Needs rework")))))</f>
      </c>
      <c r="L40" s="14"/>
    </row>
    <row r="41" ht="12" customHeight="1" spans="1:12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3">
        <f>IF(COUNT(D41:H41)=0,"",MAX(0,SUM(D41:H41)+N(I41)))</f>
      </c>
      <c r="K41" s="13">
        <f>IF(J41="","",IF(J41&gt;=27,"Outstanding",IF(J41&gt;=22,"Very good",IF(J41&gt;=17,"Good",IF(J41&gt;=12,"Satisfactory","Needs rework")))))</f>
      </c>
      <c r="L41" s="14"/>
    </row>
    <row r="42" ht="12" customHeight="1" spans="1:12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3">
        <f>IF(COUNT(D42:H42)=0,"",MAX(0,SUM(D42:H42)+N(I42)))</f>
      </c>
      <c r="K42" s="13">
        <f>IF(J42="","",IF(J42&gt;=27,"Outstanding",IF(J42&gt;=22,"Very good",IF(J42&gt;=17,"Good",IF(J42&gt;=12,"Satisfactory","Needs rework")))))</f>
      </c>
      <c r="L42" s="14"/>
    </row>
    <row r="43" ht="12" customHeight="1" spans="1:12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3">
        <f>IF(COUNT(D43:H43)=0,"",MAX(0,SUM(D43:H43)+N(I43)))</f>
      </c>
      <c r="K43" s="13">
        <f>IF(J43="","",IF(J43&gt;=27,"Outstanding",IF(J43&gt;=22,"Very good",IF(J43&gt;=17,"Good",IF(J43&gt;=12,"Satisfactory","Needs rework")))))</f>
      </c>
      <c r="L43" s="14"/>
    </row>
    <row r="44" ht="12" customHeight="1" spans="1:12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3">
        <f>IF(COUNT(D44:H44)=0,"",MAX(0,SUM(D44:H44)+N(I44)))</f>
      </c>
      <c r="K44" s="13">
        <f>IF(J44="","",IF(J44&gt;=27,"Outstanding",IF(J44&gt;=22,"Very good",IF(J44&gt;=17,"Good",IF(J44&gt;=12,"Satisfactory","Needs rework")))))</f>
      </c>
      <c r="L44" s="14"/>
    </row>
    <row r="45" ht="12" customHeight="1" spans="1:12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3">
        <f>IF(COUNT(D45:H45)=0,"",MAX(0,SUM(D45:H45)+N(I45)))</f>
      </c>
      <c r="K45" s="13">
        <f>IF(J45="","",IF(J45&gt;=27,"Outstanding",IF(J45&gt;=22,"Very good",IF(J45&gt;=17,"Good",IF(J45&gt;=12,"Satisfactory","Needs rework")))))</f>
      </c>
      <c r="L45" s="14"/>
    </row>
    <row r="46" ht="12" customHeight="1" spans="1:12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3">
        <f>IF(COUNT(D46:H46)=0,"",MAX(0,SUM(D46:H46)+N(I46)))</f>
      </c>
      <c r="K46" s="13">
        <f>IF(J46="","",IF(J46&gt;=27,"Outstanding",IF(J46&gt;=22,"Very good",IF(J46&gt;=17,"Good",IF(J46&gt;=12,"Satisfactory","Needs rework")))))</f>
      </c>
      <c r="L46" s="14"/>
    </row>
    <row r="47" ht="12" customHeight="1" spans="1:12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3">
        <f>IF(COUNT(D47:H47)=0,"",MAX(0,SUM(D47:H47)+N(I47)))</f>
      </c>
      <c r="K47" s="13">
        <f>IF(J47="","",IF(J47&gt;=27,"Outstanding",IF(J47&gt;=22,"Very good",IF(J47&gt;=17,"Good",IF(J47&gt;=12,"Satisfactory","Needs rework")))))</f>
      </c>
      <c r="L47" s="14"/>
    </row>
    <row r="48" ht="12" customHeight="1" spans="1:12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3">
        <f>IF(COUNT(D48:H48)=0,"",MAX(0,SUM(D48:H48)+N(I48)))</f>
      </c>
      <c r="K48" s="13">
        <f>IF(J48="","",IF(J48&gt;=27,"Outstanding",IF(J48&gt;=22,"Very good",IF(J48&gt;=17,"Good",IF(J48&gt;=12,"Satisfactory","Needs rework")))))</f>
      </c>
      <c r="L48" s="14"/>
    </row>
    <row r="49" ht="12" customHeight="1" spans="1:12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3">
        <f>IF(COUNT(D49:H49)=0,"",MAX(0,SUM(D49:H49)+N(I49)))</f>
      </c>
      <c r="K49" s="13">
        <f>IF(J49="","",IF(J49&gt;=27,"Outstanding",IF(J49&gt;=22,"Very good",IF(J49&gt;=17,"Good",IF(J49&gt;=12,"Satisfactory","Needs rework")))))</f>
      </c>
      <c r="L49" s="14"/>
    </row>
    <row r="50" ht="12" customHeight="1" spans="1:12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3">
        <f>IF(COUNT(D50:H50)=0,"",MAX(0,SUM(D50:H50)+N(I50)))</f>
      </c>
      <c r="K50" s="13">
        <f>IF(J50="","",IF(J50&gt;=27,"Outstanding",IF(J50&gt;=22,"Very good",IF(J50&gt;=17,"Good",IF(J50&gt;=12,"Satisfactory","Needs rework")))))</f>
      </c>
      <c r="L50" s="14"/>
    </row>
    <row r="51" ht="12" customHeight="1" spans="1:12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3">
        <f>IF(COUNT(D51:H51)=0,"",MAX(0,SUM(D51:H51)+N(I51)))</f>
      </c>
      <c r="K51" s="13">
        <f>IF(J51="","",IF(J51&gt;=27,"Outstanding",IF(J51&gt;=22,"Very good",IF(J51&gt;=17,"Good",IF(J51&gt;=12,"Satisfactory","Needs rework")))))</f>
      </c>
      <c r="L51" s="14"/>
    </row>
    <row r="52" ht="12" customHeight="1" spans="1:12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3">
        <f>IF(COUNT(D52:H52)=0,"",MAX(0,SUM(D52:H52)+N(I52)))</f>
      </c>
      <c r="K52" s="13">
        <f>IF(J52="","",IF(J52&gt;=27,"Outstanding",IF(J52&gt;=22,"Very good",IF(J52&gt;=17,"Good",IF(J52&gt;=12,"Satisfactory","Needs rework")))))</f>
      </c>
      <c r="L52" s="14"/>
    </row>
    <row r="53" ht="12" customHeight="1" spans="1:12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3">
        <f>IF(COUNT(D53:H53)=0,"",MAX(0,SUM(D53:H53)+N(I53)))</f>
      </c>
      <c r="K53" s="13">
        <f>IF(J53="","",IF(J53&gt;=27,"Outstanding",IF(J53&gt;=22,"Very good",IF(J53&gt;=17,"Good",IF(J53&gt;=12,"Satisfactory","Needs rework")))))</f>
      </c>
      <c r="L53" s="14"/>
    </row>
    <row r="54" ht="12" customHeight="1" spans="1:12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3">
        <f>IF(COUNT(D54:H54)=0,"",MAX(0,SUM(D54:H54)+N(I54)))</f>
      </c>
      <c r="K54" s="13">
        <f>IF(J54="","",IF(J54&gt;=27,"Outstanding",IF(J54&gt;=22,"Very good",IF(J54&gt;=17,"Good",IF(J54&gt;=12,"Satisfactory","Needs rework")))))</f>
      </c>
      <c r="L54" s="14"/>
    </row>
    <row r="55" ht="12" customHeight="1" spans="1:12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3">
        <f>IF(COUNT(D55:H55)=0,"",MAX(0,SUM(D55:H55)+N(I55)))</f>
      </c>
      <c r="K55" s="13">
        <f>IF(J55="","",IF(J55&gt;=27,"Outstanding",IF(J55&gt;=22,"Very good",IF(J55&gt;=17,"Good",IF(J55&gt;=12,"Satisfactory","Needs rework")))))</f>
      </c>
      <c r="L55" s="14"/>
    </row>
    <row r="56" ht="12" customHeight="1" spans="1:12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3">
        <f>IF(COUNT(D56:H56)=0,"",MAX(0,SUM(D56:H56)+N(I56)))</f>
      </c>
      <c r="K56" s="13">
        <f>IF(J56="","",IF(J56&gt;=27,"Outstanding",IF(J56&gt;=22,"Very good",IF(J56&gt;=17,"Good",IF(J56&gt;=12,"Satisfactory","Needs rework")))))</f>
      </c>
      <c r="L56" s="14"/>
    </row>
    <row r="57" ht="12" customHeight="1" spans="1:12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3">
        <f>IF(COUNT(D57:H57)=0,"",MAX(0,SUM(D57:H57)+N(I57)))</f>
      </c>
      <c r="K57" s="13">
        <f>IF(J57="","",IF(J57&gt;=27,"Outstanding",IF(J57&gt;=22,"Very good",IF(J57&gt;=17,"Good",IF(J57&gt;=12,"Satisfactory","Needs rework")))))</f>
      </c>
      <c r="L57" s="14"/>
    </row>
    <row r="58" ht="12" customHeight="1" spans="1:12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3">
        <f>IF(COUNT(D58:H58)=0,"",MAX(0,SUM(D58:H58)+N(I58)))</f>
      </c>
      <c r="K58" s="13">
        <f>IF(J58="","",IF(J58&gt;=27,"Outstanding",IF(J58&gt;=22,"Very good",IF(J58&gt;=17,"Good",IF(J58&gt;=12,"Satisfactory","Needs rework")))))</f>
      </c>
      <c r="L58" s="14"/>
    </row>
    <row r="59" ht="12" customHeight="1" spans="1:12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3">
        <f>IF(COUNT(D59:H59)=0,"",MAX(0,SUM(D59:H59)+N(I59)))</f>
      </c>
      <c r="K59" s="13">
        <f>IF(J59="","",IF(J59&gt;=27,"Outstanding",IF(J59&gt;=22,"Very good",IF(J59&gt;=17,"Good",IF(J59&gt;=12,"Satisfactory","Needs rework")))))</f>
      </c>
      <c r="L59" s="14"/>
    </row>
    <row r="60" ht="12" customHeight="1" spans="1:12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3">
        <f>IF(COUNT(D60:H60)=0,"",MAX(0,SUM(D60:H60)+N(I60)))</f>
      </c>
      <c r="K60" s="13">
        <f>IF(J60="","",IF(J60&gt;=27,"Outstanding",IF(J60&gt;=22,"Very good",IF(J60&gt;=17,"Good",IF(J60&gt;=12,"Satisfactory","Needs rework")))))</f>
      </c>
      <c r="L60" s="14"/>
    </row>
    <row r="61" ht="12" customHeight="1" spans="1:12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3">
        <f>IF(COUNT(D61:H61)=0,"",MAX(0,SUM(D61:H61)+N(I61)))</f>
      </c>
      <c r="K61" s="13">
        <f>IF(J61="","",IF(J61&gt;=27,"Outstanding",IF(J61&gt;=22,"Very good",IF(J61&gt;=17,"Good",IF(J61&gt;=12,"Satisfactory","Needs rework")))))</f>
      </c>
      <c r="L61" s="14"/>
    </row>
    <row r="62" ht="12" customHeight="1" spans="1:12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3">
        <f>IF(COUNT(D62:H62)=0,"",MAX(0,SUM(D62:H62)+N(I62)))</f>
      </c>
      <c r="K62" s="13">
        <f>IF(J62="","",IF(J62&gt;=27,"Outstanding",IF(J62&gt;=22,"Very good",IF(J62&gt;=17,"Good",IF(J62&gt;=12,"Satisfactory","Needs rework")))))</f>
      </c>
      <c r="L62" s="14"/>
    </row>
    <row r="63" ht="12" customHeight="1" spans="1:12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3">
        <f>IF(COUNT(D63:H63)=0,"",MAX(0,SUM(D63:H63)+N(I63)))</f>
      </c>
      <c r="K63" s="13">
        <f>IF(J63="","",IF(J63&gt;=27,"Outstanding",IF(J63&gt;=22,"Very good",IF(J63&gt;=17,"Good",IF(J63&gt;=12,"Satisfactory","Needs rework")))))</f>
      </c>
      <c r="L63" s="14"/>
    </row>
    <row r="64" ht="12" customHeight="1" spans="1:12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3">
        <f>IF(COUNT(D64:H64)=0,"",MAX(0,SUM(D64:H64)+N(I64)))</f>
      </c>
      <c r="K64" s="13">
        <f>IF(J64="","",IF(J64&gt;=27,"Outstanding",IF(J64&gt;=22,"Very good",IF(J64&gt;=17,"Good",IF(J64&gt;=12,"Satisfactory","Needs rework")))))</f>
      </c>
      <c r="L64" s="14"/>
    </row>
    <row r="65" ht="12" customHeight="1" spans="1:12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3">
        <f>IF(COUNT(D65:H65)=0,"",MAX(0,SUM(D65:H65)+N(I65)))</f>
      </c>
      <c r="K65" s="13">
        <f>IF(J65="","",IF(J65&gt;=27,"Outstanding",IF(J65&gt;=22,"Very good",IF(J65&gt;=17,"Good",IF(J65&gt;=12,"Satisfactory","Needs rework")))))</f>
      </c>
      <c r="L65" s="14"/>
    </row>
    <row r="66" ht="12" customHeight="1" spans="1:12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3">
        <f>IF(COUNT(D66:H66)=0,"",MAX(0,SUM(D66:H66)+N(I66)))</f>
      </c>
      <c r="K66" s="13">
        <f>IF(J66="","",IF(J66&gt;=27,"Outstanding",IF(J66&gt;=22,"Very good",IF(J66&gt;=17,"Good",IF(J66&gt;=12,"Satisfactory","Needs rework")))))</f>
      </c>
      <c r="L66" s="14"/>
    </row>
    <row r="67" ht="12" customHeight="1" spans="1:12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3">
        <f>IF(COUNT(D67:H67)=0,"",MAX(0,SUM(D67:H67)+N(I67)))</f>
      </c>
      <c r="K67" s="13">
        <f>IF(J67="","",IF(J67&gt;=27,"Outstanding",IF(J67&gt;=22,"Very good",IF(J67&gt;=17,"Good",IF(J67&gt;=12,"Satisfactory","Needs rework")))))</f>
      </c>
      <c r="L67" s="14"/>
    </row>
    <row r="68" ht="12" customHeight="1" spans="1:12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3">
        <f>IF(COUNT(D68:H68)=0,"",MAX(0,SUM(D68:H68)+N(I68)))</f>
      </c>
      <c r="K68" s="13">
        <f>IF(J68="","",IF(J68&gt;=27,"Outstanding",IF(J68&gt;=22,"Very good",IF(J68&gt;=17,"Good",IF(J68&gt;=12,"Satisfactory","Needs rework")))))</f>
      </c>
      <c r="L68" s="14"/>
    </row>
    <row r="69" ht="12" customHeight="1" spans="1:12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3">
        <f>IF(COUNT(D69:H69)=0,"",MAX(0,SUM(D69:H69)+N(I69)))</f>
      </c>
      <c r="K69" s="13">
        <f>IF(J69="","",IF(J69&gt;=27,"Outstanding",IF(J69&gt;=22,"Very good",IF(J69&gt;=17,"Good",IF(J69&gt;=12,"Satisfactory","Needs rework")))))</f>
      </c>
      <c r="L69" s="14"/>
    </row>
    <row r="70" ht="12" customHeight="1" spans="1:12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3">
        <f>IF(COUNT(D70:H70)=0,"",MAX(0,SUM(D70:H70)+N(I70)))</f>
      </c>
      <c r="K70" s="13">
        <f>IF(J70="","",IF(J70&gt;=27,"Outstanding",IF(J70&gt;=22,"Very good",IF(J70&gt;=17,"Good",IF(J70&gt;=12,"Satisfactory","Needs rework")))))</f>
      </c>
      <c r="L70" s="14"/>
    </row>
    <row r="71" ht="12" customHeight="1" spans="1:12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3">
        <f>IF(COUNT(D71:H71)=0,"",MAX(0,SUM(D71:H71)+N(I71)))</f>
      </c>
      <c r="K71" s="13">
        <f>IF(J71="","",IF(J71&gt;=27,"Outstanding",IF(J71&gt;=22,"Very good",IF(J71&gt;=17,"Good",IF(J71&gt;=12,"Satisfactory","Needs rework")))))</f>
      </c>
      <c r="L71" s="14"/>
    </row>
    <row r="72" ht="12" customHeight="1" spans="1:12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3">
        <f>IF(COUNT(D72:H72)=0,"",MAX(0,SUM(D72:H72)+N(I72)))</f>
      </c>
      <c r="K72" s="13">
        <f>IF(J72="","",IF(J72&gt;=27,"Outstanding",IF(J72&gt;=22,"Very good",IF(J72&gt;=17,"Good",IF(J72&gt;=12,"Satisfactory","Needs rework")))))</f>
      </c>
      <c r="L72" s="14"/>
    </row>
    <row r="73" ht="12" customHeight="1" spans="1:12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3">
        <f>IF(COUNT(D73:H73)=0,"",MAX(0,SUM(D73:H73)+N(I73)))</f>
      </c>
      <c r="K73" s="13">
        <f>IF(J73="","",IF(J73&gt;=27,"Outstanding",IF(J73&gt;=22,"Very good",IF(J73&gt;=17,"Good",IF(J73&gt;=12,"Satisfactory","Needs rework")))))</f>
      </c>
      <c r="L73" s="14"/>
    </row>
    <row r="74" ht="12" customHeight="1" spans="1:12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3">
        <f>IF(COUNT(D74:H74)=0,"",MAX(0,SUM(D74:H74)+N(I74)))</f>
      </c>
      <c r="K74" s="13">
        <f>IF(J74="","",IF(J74&gt;=27,"Outstanding",IF(J74&gt;=22,"Very good",IF(J74&gt;=17,"Good",IF(J74&gt;=12,"Satisfactory","Needs rework")))))</f>
      </c>
      <c r="L74" s="14"/>
    </row>
    <row r="75" ht="12" customHeight="1" spans="1:12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3">
        <f>IF(COUNT(D75:H75)=0,"",MAX(0,SUM(D75:H75)+N(I75)))</f>
      </c>
      <c r="K75" s="13">
        <f>IF(J75="","",IF(J75&gt;=27,"Outstanding",IF(J75&gt;=22,"Very good",IF(J75&gt;=17,"Good",IF(J75&gt;=12,"Satisfactory","Needs rework")))))</f>
      </c>
      <c r="L75" s="14"/>
    </row>
    <row r="76" ht="12" customHeight="1" spans="1:12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3">
        <f>IF(COUNT(D76:H76)=0,"",MAX(0,SUM(D76:H76)+N(I76)))</f>
      </c>
      <c r="K76" s="13">
        <f>IF(J76="","",IF(J76&gt;=27,"Outstanding",IF(J76&gt;=22,"Very good",IF(J76&gt;=17,"Good",IF(J76&gt;=12,"Satisfactory","Needs rework")))))</f>
      </c>
      <c r="L76" s="14"/>
    </row>
    <row r="77" ht="12" customHeight="1" spans="1:12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3">
        <f>IF(COUNT(D77:H77)=0,"",MAX(0,SUM(D77:H77)+N(I77)))</f>
      </c>
      <c r="K77" s="13">
        <f>IF(J77="","",IF(J77&gt;=27,"Outstanding",IF(J77&gt;=22,"Very good",IF(J77&gt;=17,"Good",IF(J77&gt;=12,"Satisfactory","Needs rework")))))</f>
      </c>
      <c r="L77" s="14"/>
    </row>
    <row r="78" ht="12" customHeight="1" spans="1:12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3">
        <f>IF(COUNT(D78:H78)=0,"",MAX(0,SUM(D78:H78)+N(I78)))</f>
      </c>
      <c r="K78" s="13">
        <f>IF(J78="","",IF(J78&gt;=27,"Outstanding",IF(J78&gt;=22,"Very good",IF(J78&gt;=17,"Good",IF(J78&gt;=12,"Satisfactory","Needs rework")))))</f>
      </c>
      <c r="L78" s="14"/>
    </row>
    <row r="79" ht="12" customHeight="1" spans="1:12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3">
        <f>IF(COUNT(D79:H79)=0,"",MAX(0,SUM(D79:H79)+N(I79)))</f>
      </c>
      <c r="K79" s="13">
        <f>IF(J79="","",IF(J79&gt;=27,"Outstanding",IF(J79&gt;=22,"Very good",IF(J79&gt;=17,"Good",IF(J79&gt;=12,"Satisfactory","Needs rework")))))</f>
      </c>
      <c r="L79" s="14"/>
    </row>
    <row r="80" ht="12" customHeight="1" spans="1:12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3">
        <f>IF(COUNT(D80:H80)=0,"",MAX(0,SUM(D80:H80)+N(I80)))</f>
      </c>
      <c r="K80" s="13">
        <f>IF(J80="","",IF(J80&gt;=27,"Outstanding",IF(J80&gt;=22,"Very good",IF(J80&gt;=17,"Good",IF(J80&gt;=12,"Satisfactory","Needs rework")))))</f>
      </c>
      <c r="L80" s="14"/>
    </row>
    <row r="81" ht="12" customHeight="1" spans="1:12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3">
        <f>IF(COUNT(D81:H81)=0,"",MAX(0,SUM(D81:H81)+N(I81)))</f>
      </c>
      <c r="K81" s="13">
        <f>IF(J81="","",IF(J81&gt;=27,"Outstanding",IF(J81&gt;=22,"Very good",IF(J81&gt;=17,"Good",IF(J81&gt;=12,"Satisfactory","Needs rework")))))</f>
      </c>
      <c r="L81" s="14"/>
    </row>
    <row r="82" ht="12" customHeight="1" spans="1:12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3">
        <f>IF(COUNT(D82:H82)=0,"",MAX(0,SUM(D82:H82)+N(I82)))</f>
      </c>
      <c r="K82" s="13">
        <f>IF(J82="","",IF(J82&gt;=27,"Outstanding",IF(J82&gt;=22,"Very good",IF(J82&gt;=17,"Good",IF(J82&gt;=12,"Satisfactory","Needs rework")))))</f>
      </c>
      <c r="L82" s="14"/>
    </row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dataValidations count="5">
    <dataValidation type="decimal" allowBlank="1" sqref="D3:D82">
      <formula1>0</formula1>
      <formula2>8</formula2>
    </dataValidation>
    <dataValidation type="decimal" allowBlank="1" sqref="E3:E82">
      <formula1>0</formula1>
      <formula2>7</formula2>
    </dataValidation>
    <dataValidation type="decimal" allowBlank="1" sqref="F3:F82">
      <formula1>0</formula1>
      <formula2>5</formula2>
    </dataValidation>
    <dataValidation type="decimal" allowBlank="1" sqref="G3:G82">
      <formula1>0</formula1>
      <formula2>6</formula2>
    </dataValidation>
    <dataValidation type="decimal" allowBlank="1" sqref="H3:H82">
      <formula1>0</formula1>
      <formula2>4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Tasks</vt:lpstr>
      <vt:lpstr>Theme Summary</vt:lpstr>
      <vt:lpstr>Rubric (30 marks)</vt:lpstr>
      <vt:lpstr>Marks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2026-10-04T02:22:42Z</dcterms:created>
  <dcterms:modified xsi:type="dcterms:W3CDTF">2026-10-04T02:22:42Z</dcterms:modified>
</cp:coreProperties>
</file>